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f9522916c8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scheidung" sheetId="1" r:id="Rf54b4e3c86d14768"/>
    <x:sheet xmlns:r="http://schemas.openxmlformats.org/officeDocument/2006/relationships" name="Segment-Scorecard" sheetId="2" r:id="Ra3ce2d7bf9da4696"/>
    <x:sheet xmlns:r="http://schemas.openxmlformats.org/officeDocument/2006/relationships" name="Gates" sheetId="3" r:id="Ra025f1fb6b564cea"/>
    <x:sheet xmlns:r="http://schemas.openxmlformats.org/officeDocument/2006/relationships" name="Design-Partner" sheetId="4" r:id="R356433d593854661"/>
    <x:sheet xmlns:r="http://schemas.openxmlformats.org/officeDocument/2006/relationships" name="ROI-Modell" sheetId="5" r:id="Rc190673457834575"/>
    <x:sheet xmlns:r="http://schemas.openxmlformats.org/officeDocument/2006/relationships" name="Pilotangebote" sheetId="6" r:id="R10ac7215e66f426d"/>
    <x:sheet xmlns:r="http://schemas.openxmlformats.org/officeDocument/2006/relationships" name="Evidence-Log" sheetId="7" r:id="R8d5dc3ecec1141f6"/>
    <x:sheet xmlns:r="http://schemas.openxmlformats.org/officeDocument/2006/relationships" name="Definitionen" sheetId="8" r:id="R69ee488e30a243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%"/>
    <x:numFmt numFmtId="202" formatCode="€#,##0"/>
    <x:numFmt numFmtId="203" formatCode="0.0x"/>
    <x:numFmt numFmtId="204" formatCode="yyyy-mm-dd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02A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b/>
      <x:sz val="11"/>
      <x:color rgb="FF17202A"/>
      <x:name val="Carlito"/>
    </x:font>
    <x:font>
      <x:b/>
      <x:sz val="18"/>
      <x:color rgb="FFFFFFFF"/>
      <x:name val="Aptos"/>
    </x:font>
    <x:font>
      <x:i/>
      <x:sz val="11"/>
      <x:color rgb="FF17202A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202A"/>
      <x:name val="Aptos"/>
    </x:font>
    <x:font>
      <x:sz val="11"/>
      <x:color rgb="FF2563EB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8EDF5"/>
      </x:patternFill>
    </x:fill>
    <x:fill>
      <x:patternFill patternType="solid">
        <x:fgColor rgb="FF0F766E"/>
      </x:patternFill>
    </x:fill>
    <x:fill>
      <x:patternFill patternType="solid">
        <x:fgColor rgb="FFEAF2FF"/>
      </x:patternFill>
    </x:fill>
    <x:fill>
      <x:patternFill patternType="solid">
        <x:fgColor rgb="FFFFF6D8"/>
      </x:patternFill>
    </x:fill>
  </x:fills>
  <x:borders count="1">
    <x:border/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4" fillId="5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/>
    <x:xf numFmtId="202" fontId="3" fillId="2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5" borderId="0" xfId="0" applyNumberFormat="1" applyFont="1" applyFill="1" applyBorder="1"/>
    <x:xf numFmtId="204" fontId="4" fillId="5" borderId="0" xfId="0" applyNumberFormat="1" applyFont="1" applyFill="1" applyBorder="1"/>
    <x:xf numFmtId="204" fontId="4" fillId="5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201" fontId="11" fillId="5" borderId="0" xfId="0" applyNumberFormat="1" applyFont="1" applyFill="1" applyBorder="1" applyAlignment="1">
      <x:alignment wrapText="1"/>
    </x:xf>
    <x:xf numFmtId="202" fontId="11" fillId="5" borderId="0" xfId="0" applyNumberFormat="1" applyFont="1" applyFill="1" applyBorder="1" applyAlignment="1">
      <x:alignment wrapText="1"/>
    </x:xf>
    <x:xf numFmtId="202" fontId="9" fillId="2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203" fontId="8" fillId="0" borderId="0" xfId="0" applyNumberFormat="1" applyFont="1" applyFill="1" applyBorder="1" applyAlignment="1">
      <x:alignment wrapText="1"/>
    </x:xf>
    <x:xf numFmtId="204" fontId="11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166534"/>
      </x:font>
      <x:fill>
        <x:patternFill patternType="solid">
          <x:bgColor rgb="FFE8F5EE"/>
        </x:patternFill>
      </x:fill>
    </x:dxf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b/>
        <x:color rgb="FF854D0E"/>
      </x:font>
      <x:fill>
        <x:patternFill patternType="solid">
          <x:bgColor rgb="FFFFF6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40345142d14c3c" /><Relationship Type="http://schemas.openxmlformats.org/officeDocument/2006/relationships/theme" Target="/xl/theme/theme1.xml" Id="Rad550f873e824e78" /><Relationship Type="http://schemas.openxmlformats.org/officeDocument/2006/relationships/sharedStrings" Target="/xl/sharedStrings.xml" Id="Rdfddc917def84e6c" /><Relationship Type="http://schemas.openxmlformats.org/officeDocument/2006/relationships/worksheet" Target="/xl/worksheets/sheet1.xml" Id="Rf54b4e3c86d14768" /><Relationship Type="http://schemas.openxmlformats.org/officeDocument/2006/relationships/worksheet" Target="/xl/worksheets/sheet2.xml" Id="Ra3ce2d7bf9da4696" /><Relationship Type="http://schemas.openxmlformats.org/officeDocument/2006/relationships/worksheet" Target="/xl/worksheets/sheet3.xml" Id="Ra025f1fb6b564cea" /><Relationship Type="http://schemas.openxmlformats.org/officeDocument/2006/relationships/worksheet" Target="/xl/worksheets/sheet4.xml" Id="R356433d593854661" /><Relationship Type="http://schemas.openxmlformats.org/officeDocument/2006/relationships/worksheet" Target="/xl/worksheets/sheet5.xml" Id="Rc190673457834575" /><Relationship Type="http://schemas.openxmlformats.org/officeDocument/2006/relationships/worksheet" Target="/xl/worksheets/sheet6.xml" Id="R10ac7215e66f426d" /><Relationship Type="http://schemas.openxmlformats.org/officeDocument/2006/relationships/worksheet" Target="/xl/worksheets/sheet7.xml" Id="R8d5dc3ecec1141f6" /><Relationship Type="http://schemas.openxmlformats.org/officeDocument/2006/relationships/worksheet" Target="/xl/worksheets/sheet8.xml" Id="R69ee488e30a243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8a2c6213b648b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Evidence-adjustierter Segmentscore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Adjusted Score</c:v>
          </c:tx>
          <c:cat>
            <c:strRef>
              <c:f>'Entscheidung'!$A$5:$A$6</c:f>
              <c:strCache>
                <c:ptCount val="0"/>
              </c:strCache>
            </c:strRef>
          </c:cat>
          <c:val>
            <c:numRef>
              <c:f>'Entscheidung'!$B$5:$B$6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8a2c6213b648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ff19df115714b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7" t="str">
        <x:v>Beachhead Decision Cockpit</x:v>
      </x:c>
      <x:c r="B1" s="37" t="str">
        <x:v>Beachhead Decision Cockpit</x:v>
      </x:c>
      <x:c r="C1" s="37" t="str">
        <x:v>Beachhead Decision Cockpit</x:v>
      </x:c>
      <x:c r="D1" s="37" t="str">
        <x:v>Beachhead Decision Cockpit</x:v>
      </x:c>
      <x:c r="E1" s="37" t="str">
        <x:v>Beachhead Decision Cockpit</x:v>
      </x:c>
      <x:c r="F1" s="37" t="str">
        <x:v>Beachhead Decision Cockpit</x:v>
      </x:c>
      <x:c r="G1" s="37" t="str">
        <x:v>Beachhead Decision Cockpit</x:v>
      </x:c>
      <x:c r="H1" s="37" t="str">
        <x:v>Beachhead Decision Cockpit</x:v>
      </x:c>
    </x:row>
    <x:row r="2" ht="34" customHeight="1">
      <x:c r="A2" s="38" t="str">
        <x:v>Entscheidung erst nach mindestens 10 Interviews, 3 Beobachtungen und 2 Pilotangeboten je Segment.</x:v>
      </x:c>
      <x:c r="B2" s="38" t="str">
        <x:v>Entscheidung erst nach mindestens 10 Interviews, 3 Beobachtungen und 2 Pilotangeboten je Segment.</x:v>
      </x:c>
      <x:c r="C2" s="38" t="str">
        <x:v>Entscheidung erst nach mindestens 10 Interviews, 3 Beobachtungen und 2 Pilotangeboten je Segment.</x:v>
      </x:c>
      <x:c r="D2" s="38" t="str">
        <x:v>Entscheidung erst nach mindestens 10 Interviews, 3 Beobachtungen und 2 Pilotangeboten je Segment.</x:v>
      </x:c>
      <x:c r="E2" s="38" t="str">
        <x:v>Entscheidung erst nach mindestens 10 Interviews, 3 Beobachtungen und 2 Pilotangeboten je Segment.</x:v>
      </x:c>
      <x:c r="F2" s="38" t="str">
        <x:v>Entscheidung erst nach mindestens 10 Interviews, 3 Beobachtungen und 2 Pilotangeboten je Segment.</x:v>
      </x:c>
      <x:c r="G2" s="38" t="str">
        <x:v>Entscheidung erst nach mindestens 10 Interviews, 3 Beobachtungen und 2 Pilotangeboten je Segment.</x:v>
      </x:c>
      <x:c r="H2" s="38" t="str">
        <x:v>Entscheidung erst nach mindestens 10 Interviews, 3 Beobachtungen und 2 Pilotangeboten je Segment.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6" customHeight="1">
      <x:c r="A4" s="40" t="str">
        <x:v>Segment</x:v>
      </x:c>
      <x:c r="B4" s="40" t="str">
        <x:v>Adjusted Score</x:v>
      </x:c>
      <x:c r="C4" s="40" t="str">
        <x:v>Gate Status</x:v>
      </x:c>
      <x:c r="D4" s="40" t="str">
        <x:v>Interviews</x:v>
      </x:c>
      <x:c r="E4" s="40" t="str">
        <x:v>Beobachtungen</x:v>
      </x:c>
      <x:c r="F4" s="40" t="str">
        <x:v>Pilotangebote</x:v>
      </x:c>
      <x:c r="G4" s="40" t="str">
        <x:v>Bezahlte Zusagen</x:v>
      </x:c>
      <x:c r="H4" s="40" t="str">
        <x:v>Entscheidungsstatus</x:v>
      </x:c>
    </x:row>
    <x:row r="5">
      <x:c r="A5" s="41" t="str">
        <x:v>A – Service/Reparatur</x:v>
      </x:c>
      <x:c r="B5" s="41" t="n">
        <x:f>'Segment-Scorecard'!E16</x:f>
        <x:v>0</x:v>
      </x:c>
      <x:c r="C5" s="41" t="str">
        <x:f>'Gates'!E12</x:f>
        <x:v>OPEN</x:v>
      </x:c>
      <x:c r="D5" s="41" t="n">
        <x:f>COUNTIF('Evidence-Log'!C5:C104,"A")</x:f>
        <x:v>0</x:v>
      </x:c>
      <x:c r="E5" s="41" t="n">
        <x:f>COUNTIFS('Evidence-Log'!C5:C104,"A",'Evidence-Log'!F5:F104,"Beobachtung")</x:f>
        <x:v>0</x:v>
      </x:c>
      <x:c r="F5" s="41" t="n">
        <x:f>COUNTIFS('Design-Partner'!B5:B44,"A",'Design-Partner'!N5:N44,"Angebot")+COUNTIFS('Design-Partner'!B5:B44,"A",'Design-Partner'!N5:N44,"Zusage")</x:f>
        <x:v>0</x:v>
      </x:c>
      <x:c r="G5" s="41" t="n">
        <x:f>COUNTIFS('Design-Partner'!B5:B44,"A",'Design-Partner'!N5:N44,"Zusage")</x:f>
        <x:v>0</x:v>
      </x:c>
      <x:c r="H5" s="41" t="str">
        <x:f>IF(AND(C5="PASS",D5&gt;=10,E5&gt;=3,F5&gt;=2,G5&gt;=2),"QUALIFIZIERT","OFFEN")</x:f>
        <x:v>OFFEN</x:v>
      </x:c>
    </x:row>
    <x:row r="6">
      <x:c r="A6" s="41" t="str">
        <x:v>B – AI-reife B2B Ops</x:v>
      </x:c>
      <x:c r="B6" s="41" t="n">
        <x:f>'Segment-Scorecard'!H16</x:f>
        <x:v>0</x:v>
      </x:c>
      <x:c r="C6" s="41" t="str">
        <x:f>'Gates'!G12</x:f>
        <x:v>OPEN</x:v>
      </x:c>
      <x:c r="D6" s="41" t="n">
        <x:f>COUNTIF('Evidence-Log'!C5:C104,"B")</x:f>
        <x:v>0</x:v>
      </x:c>
      <x:c r="E6" s="41" t="n">
        <x:f>COUNTIFS('Evidence-Log'!C5:C104,"B",'Evidence-Log'!F5:F104,"Beobachtung")</x:f>
        <x:v>0</x:v>
      </x:c>
      <x:c r="F6" s="41" t="n">
        <x:f>COUNTIFS('Design-Partner'!B5:B44,"B",'Design-Partner'!N5:N44,"Angebot")+COUNTIFS('Design-Partner'!B5:B44,"B",'Design-Partner'!N5:N44,"Zusage")</x:f>
        <x:v>0</x:v>
      </x:c>
      <x:c r="G6" s="41" t="n">
        <x:f>COUNTIFS('Design-Partner'!B5:B44,"B",'Design-Partner'!N5:N44,"Zusage")</x:f>
        <x:v>0</x:v>
      </x:c>
      <x:c r="H6" s="41" t="str">
        <x:f>IF(AND(C6="PASS",D6&gt;=10,E6&gt;=3,F6&gt;=2,G6&gt;=2),"QUALIFIZIERT","OFFEN")</x:f>
        <x:v>OFFEN</x:v>
      </x:c>
    </x:row>
    <x:row r="7">
      <x:c r="A7" s="41"/>
      <x:c r="B7" s="41"/>
      <x:c r="C7" s="41"/>
      <x:c r="D7" s="41"/>
      <x:c r="E7" s="41"/>
      <x:c r="F7" s="41"/>
      <x:c r="G7" s="41"/>
      <x:c r="H7" s="41"/>
    </x:row>
    <x:row r="8">
      <x:c r="A8" s="41"/>
      <x:c r="B8" s="41"/>
      <x:c r="C8" s="41"/>
      <x:c r="D8" s="41"/>
      <x:c r="E8" s="41"/>
      <x:c r="F8" s="41"/>
      <x:c r="G8" s="41"/>
      <x:c r="H8" s="41"/>
    </x:row>
    <x:row r="9">
      <x:c r="A9" s="42" t="str">
        <x:v>Vorläufige Entscheidung</x:v>
      </x:c>
      <x:c r="B9" s="42"/>
      <x:c r="C9" s="42"/>
      <x:c r="D9" s="42" t="str">
        <x:f>IF(AND(H5="QUALIFIZIERT",H6="QUALIFIZIERT"),IF(ABS(B5-B6)&lt;=5,"B – Vision Tiebreaker",IF(B5&gt;B6,"A – höherer Evidence Score","B – höherer Evidence Score")),IF(H5="QUALIFIZIERT","A – einzig qualifiziert",IF(H6="QUALIFIZIERT","B – einzig qualifiziert","KEIN BUILD – Evidenz/Gates fehlen")))</x:f>
        <x:v>KEIN BUILD – Evidenz/Gates fehlen</x:v>
      </x:c>
      <x:c r="E9" s="42"/>
      <x:c r="F9" s="42"/>
      <x:c r="G9" s="42"/>
      <x:c r="H9" s="42"/>
    </x:row>
    <x:row r="10">
      <x:c r="A10" s="41"/>
      <x:c r="B10" s="41"/>
      <x:c r="C10" s="41"/>
      <x:c r="D10" s="41"/>
      <x:c r="E10" s="41"/>
      <x:c r="F10" s="41"/>
      <x:c r="G10" s="41"/>
      <x:c r="H10" s="41"/>
    </x:row>
    <x:row r="11">
      <x:c r="A11" s="41"/>
      <x:c r="B11" s="41"/>
      <x:c r="C11" s="41"/>
      <x:c r="D11" s="41"/>
      <x:c r="E11" s="41"/>
      <x:c r="F11" s="41"/>
      <x:c r="G11" s="41"/>
      <x:c r="H11" s="41"/>
    </x:row>
    <x:row r="12">
      <x:c r="A12" s="43" t="str">
        <x:v>Regel: Scores ohne bestandene Gates entscheiden nichts. Bei ≤5 Punkten Differenz und bestandenen Gates gewinnt B. Ohne zwei bezahlte Zusagen im Gewinnersegment wird nicht gebaut.</x:v>
      </x:c>
      <x:c r="B12" s="43"/>
      <x:c r="C12" s="43"/>
      <x:c r="D12" s="43"/>
      <x:c r="E12" s="43"/>
      <x:c r="F12" s="43"/>
      <x:c r="G12" s="43"/>
      <x:c r="H12" s="43"/>
    </x:row>
    <x:row r="32">
      <x:c r="A32" s="10" t="str">
        <x:v>Workbook Check</x:v>
      </x:c>
      <x:c r="B32" s="10" t="str">
        <x:v>Expected</x:v>
      </x:c>
      <x:c r="C32" s="10" t="str">
        <x:v>Status</x:v>
      </x:c>
    </x:row>
    <x:row r="33">
      <x:c r="A33" t="str">
        <x:v>Gewichte summieren</x:v>
      </x:c>
      <x:c r="B33" t="n">
        <x:v>100</x:v>
      </x:c>
      <x:c r="C33" t="str">
        <x:f>IF('Segment-Scorecard'!B16=B33,"OK","FEHLER")</x:f>
        <x:v>OK</x:v>
      </x:c>
    </x:row>
    <x:row r="34">
      <x:c r="A34" t="str">
        <x:v>Segment A Gates</x:v>
      </x:c>
      <x:c r="B34" t="str">
        <x:v>PASS nach Eingabe</x:v>
      </x:c>
      <x:c r="C34" t="str">
        <x:v>OFFEN</x:v>
      </x:c>
    </x:row>
    <x:row r="35">
      <x:c r="A35" t="str">
        <x:v>Segment B Gates</x:v>
      </x:c>
      <x:c r="B35" t="str">
        <x:v>PASS nach Eingabe</x:v>
      </x:c>
      <x:c r="C35" t="str">
        <x:v>OFFEN</x:v>
      </x:c>
    </x:row>
    <x:row r="36">
      <x:c r="A36" t="str">
        <x:v>Formelstatus</x:v>
      </x:c>
      <x:c r="B36" t="str">
        <x:v>Keine Fehler</x:v>
      </x:c>
      <x:c r="C36" t="str">
        <x:v>OK</x:v>
      </x:c>
    </x:row>
  </x:sheetData>
  <x:mergeCells>
    <x:mergeCell ref="A1:H1"/>
    <x:mergeCell ref="A2:H2"/>
    <x:mergeCell ref="D9:H9"/>
    <x:mergeCell ref="A12:H12"/>
  </x:mergeCells>
  <x:conditionalFormatting sqref="C5:C6">
    <x:cfRule type="containsText" dxfId="0" priority="1" operator="containsText" text="PASS"/>
    <x:cfRule type="containsText" dxfId="1" priority="2" operator="containsText" text="QUALIFIZIERT"/>
    <x:cfRule type="containsText" dxfId="2" priority="3" operator="containsText" text="FAIL"/>
    <x:cfRule type="containsText" dxfId="3" priority="4" operator="containsText" text="OFFEN"/>
  </x:conditionalFormatting>
  <x:conditionalFormatting sqref="H5:H6">
    <x:cfRule type="containsText" dxfId="4" priority="5" operator="containsText" text="PASS"/>
    <x:cfRule type="containsText" dxfId="5" priority="6" operator="containsText" text="QUALIFIZIERT"/>
    <x:cfRule type="containsText" dxfId="6" priority="7" operator="containsText" text="FAIL"/>
    <x:cfRule type="containsText" dxfId="7" priority="8" operator="containsText" text="OFFEN"/>
  </x:conditionalFormatting>
  <x:pageMargins left="0.7" right="0.7" top="0.75" bottom="0.75" header="0.3" footer="0.3"/>
  <x:drawing xmlns:r="http://schemas.openxmlformats.org/officeDocument/2006/relationships" r:id="R6ff19df115714be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38" hidden="0" customWidth="1"/>
    <x:col min="10" max="10" width="24" hidden="0" customWidth="1"/>
  </x:cols>
  <x:sheetData>
    <x:row r="1" ht="30" customHeight="1">
      <x:c r="A1" s="37" t="str">
        <x:v>Beachhead Segment-Scorecard</x:v>
      </x:c>
      <x:c r="B1" s="37" t="str">
        <x:v>Beachhead Segment-Scorecard</x:v>
      </x:c>
      <x:c r="C1" s="37" t="str">
        <x:v>Beachhead Segment-Scorecard</x:v>
      </x:c>
      <x:c r="D1" s="37" t="str">
        <x:v>Beachhead Segment-Scorecard</x:v>
      </x:c>
      <x:c r="E1" s="37" t="str">
        <x:v>Beachhead Segment-Scorecard</x:v>
      </x:c>
      <x:c r="F1" s="37" t="str">
        <x:v>Beachhead Segment-Scorecard</x:v>
      </x:c>
      <x:c r="G1" s="37" t="str">
        <x:v>Beachhead Segment-Scorecard</x:v>
      </x:c>
      <x:c r="H1" s="37" t="str">
        <x:v>Beachhead Segment-Scorecard</x:v>
      </x:c>
      <x:c r="I1" s="37" t="str">
        <x:v>Beachhead Segment-Scorecard</x:v>
      </x:c>
      <x:c r="J1" s="37" t="str">
        <x:v>Beachhead Segment-Scorecard</x:v>
      </x:c>
    </x:row>
    <x:row r="2" ht="34" customHeight="1">
      <x:c r="A2" s="38" t="str">
        <x:v>Blaue Zellen sind Inputs. Scores 0–5 und Evidence-Qualität 0–4; Anker stehen in 'Definitionen'.</x:v>
      </x:c>
      <x:c r="B2" s="38" t="str">
        <x:v>Blaue Zellen sind Inputs. Scores 0–5 und Evidence-Qualität 0–4; Anker stehen in 'Definitionen'.</x:v>
      </x:c>
      <x:c r="C2" s="38" t="str">
        <x:v>Blaue Zellen sind Inputs. Scores 0–5 und Evidence-Qualität 0–4; Anker stehen in 'Definitionen'.</x:v>
      </x:c>
      <x:c r="D2" s="38" t="str">
        <x:v>Blaue Zellen sind Inputs. Scores 0–5 und Evidence-Qualität 0–4; Anker stehen in 'Definitionen'.</x:v>
      </x:c>
      <x:c r="E2" s="38" t="str">
        <x:v>Blaue Zellen sind Inputs. Scores 0–5 und Evidence-Qualität 0–4; Anker stehen in 'Definitionen'.</x:v>
      </x:c>
      <x:c r="F2" s="38" t="str">
        <x:v>Blaue Zellen sind Inputs. Scores 0–5 und Evidence-Qualität 0–4; Anker stehen in 'Definitionen'.</x:v>
      </x:c>
      <x:c r="G2" s="38" t="str">
        <x:v>Blaue Zellen sind Inputs. Scores 0–5 und Evidence-Qualität 0–4; Anker stehen in 'Definitionen'.</x:v>
      </x:c>
      <x:c r="H2" s="38" t="str">
        <x:v>Blaue Zellen sind Inputs. Scores 0–5 und Evidence-Qualität 0–4; Anker stehen in 'Definitionen'.</x:v>
      </x:c>
      <x:c r="I2" s="38" t="str">
        <x:v>Blaue Zellen sind Inputs. Scores 0–5 und Evidence-Qualität 0–4; Anker stehen in 'Definitionen'.</x:v>
      </x:c>
      <x:c r="J2" s="38" t="str">
        <x:v>Blaue Zellen sind Inputs. Scores 0–5 und Evidence-Qualität 0–4; Anker stehen in 'Definitionen'.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</x:row>
    <x:row r="4" ht="36" customHeight="1">
      <x:c r="A4" s="40" t="str">
        <x:v>Kriterium</x:v>
      </x:c>
      <x:c r="B4" s="40" t="str">
        <x:v>Gewicht</x:v>
      </x:c>
      <x:c r="C4" s="40" t="str">
        <x:v>A Score</x:v>
      </x:c>
      <x:c r="D4" s="40" t="str">
        <x:v>A Evidenz</x:v>
      </x:c>
      <x:c r="E4" s="40" t="str">
        <x:v>A Punkte</x:v>
      </x:c>
      <x:c r="F4" s="40" t="str">
        <x:v>B Score</x:v>
      </x:c>
      <x:c r="G4" s="40" t="str">
        <x:v>B Evidenz</x:v>
      </x:c>
      <x:c r="H4" s="40" t="str">
        <x:v>B Punkte</x:v>
      </x:c>
      <x:c r="I4" s="40" t="str">
        <x:v>Messdefinition</x:v>
      </x:c>
      <x:c r="J4" s="40" t="str">
        <x:v>Harter Gate-Bezug</x:v>
      </x:c>
    </x:row>
    <x:row r="5">
      <x:c r="A5" s="41" t="str">
        <x:v>Dringlichkeit &amp; Problemfrequenz</x:v>
      </x:c>
      <x:c r="B5" s="44" t="n">
        <x:v>14</x:v>
      </x:c>
      <x:c r="C5" s="45"/>
      <x:c r="D5" s="45"/>
      <x:c r="E5" s="41" t="n">
        <x:f>B5*C5/5*D5/4</x:f>
        <x:v>0</x:v>
      </x:c>
      <x:c r="F5" s="45"/>
      <x:c r="G5" s="45"/>
      <x:c r="H5" s="41" t="n">
        <x:f>B5*F5/5*G5/4</x:f>
        <x:v>0</x:v>
      </x:c>
      <x:c r="I5" s="41" t="str">
        <x:v>Häufigkeit, Folgen und aktuelle Dringlichkeit</x:v>
      </x:c>
      <x:c r="J5" s="41" t="str">
        <x:v>Problem aktuell</x:v>
      </x:c>
    </x:row>
    <x:row r="6">
      <x:c r="A6" s="41" t="str">
        <x:v>Wirtschaftlicher Schaden</x:v>
      </x:c>
      <x:c r="B6" s="44" t="n">
        <x:v>12</x:v>
      </x:c>
      <x:c r="C6" s="45"/>
      <x:c r="D6" s="45"/>
      <x:c r="E6" s="41" t="n">
        <x:f>B6*C6/5*D6/4</x:f>
        <x:v>0</x:v>
      </x:c>
      <x:c r="F6" s="45"/>
      <x:c r="G6" s="45"/>
      <x:c r="H6" s="41" t="n">
        <x:f>B6*F6/5*G6/4</x:f>
        <x:v>0</x:v>
      </x:c>
      <x:c r="I6" s="41" t="str">
        <x:v>Belegbare Kosten, Verluste, Risiken oder Verzögerungen</x:v>
      </x:c>
      <x:c r="J6" s="41" t="str">
        <x:v>5 verifizierte Baselines</x:v>
      </x:c>
    </x:row>
    <x:row r="7">
      <x:c r="A7" s="41" t="str">
        <x:v>Zahlungsbereitschaft</x:v>
      </x:c>
      <x:c r="B7" s="44" t="n">
        <x:v>15</x:v>
      </x:c>
      <x:c r="C7" s="45"/>
      <x:c r="D7" s="45"/>
      <x:c r="E7" s="41" t="n">
        <x:f>B7*C7/5*D7/4</x:f>
        <x:v>0</x:v>
      </x:c>
      <x:c r="F7" s="45"/>
      <x:c r="G7" s="45"/>
      <x:c r="H7" s="41" t="n">
        <x:f>B7*F7/5*G7/4</x:f>
        <x:v>0</x:v>
      </x:c>
      <x:c r="I7" s="41" t="str">
        <x:v>Verhalten statt Kaufabsicht; bezahlter Pilot zählt</x:v>
      </x:c>
      <x:c r="J7" s="41" t="str">
        <x:v>2 bezahlte Piloten</x:v>
      </x:c>
    </x:row>
    <x:row r="8">
      <x:c r="A8" s="41" t="str">
        <x:v>Verbreitung &amp; Wiederholbarkeit</x:v>
      </x:c>
      <x:c r="B8" s="44" t="n">
        <x:v>10</x:v>
      </x:c>
      <x:c r="C8" s="45"/>
      <x:c r="D8" s="45"/>
      <x:c r="E8" s="41" t="n">
        <x:f>B8*C8/5*D8/4</x:f>
        <x:v>0</x:v>
      </x:c>
      <x:c r="F8" s="45"/>
      <x:c r="G8" s="45"/>
      <x:c r="H8" s="41" t="n">
        <x:f>B8*F8/5*G8/4</x:f>
        <x:v>0</x:v>
      </x:c>
      <x:c r="I8" s="41" t="str">
        <x:v>Ähnlicher Workflow über mehrere Firmen</x:v>
      </x:c>
      <x:c r="J8" s="41" t="str"/>
    </x:row>
    <x:row r="9">
      <x:c r="A9" s="41" t="str">
        <x:v>Sales Velocity &amp; Buyer-Zugang</x:v>
      </x:c>
      <x:c r="B9" s="44" t="n">
        <x:v>8</x:v>
      </x:c>
      <x:c r="C9" s="45"/>
      <x:c r="D9" s="45"/>
      <x:c r="E9" s="41" t="n">
        <x:f>B9*C9/5*D9/4</x:f>
        <x:v>0</x:v>
      </x:c>
      <x:c r="F9" s="45"/>
      <x:c r="G9" s="45"/>
      <x:c r="H9" s="41" t="n">
        <x:f>B9*F9/5*G9/4</x:f>
        <x:v>0</x:v>
      </x:c>
      <x:c r="I9" s="41" t="str">
        <x:v>Zugang zum Käufer und realistische Beschaffung</x:v>
      </x:c>
      <x:c r="J9" s="41" t="str"/>
    </x:row>
    <x:row r="10">
      <x:c r="A10" s="41" t="str">
        <x:v>Integration &amp; Time-to-Value</x:v>
      </x:c>
      <x:c r="B10" s="44" t="n">
        <x:v>8</x:v>
      </x:c>
      <x:c r="C10" s="45"/>
      <x:c r="D10" s="45"/>
      <x:c r="E10" s="41" t="n">
        <x:f>B10*C10/5*D10/4</x:f>
        <x:v>0</x:v>
      </x:c>
      <x:c r="F10" s="45"/>
      <x:c r="G10" s="45"/>
      <x:c r="H10" s="41" t="n">
        <x:f>B10*F10/5*G10/4</x:f>
        <x:v>0</x:v>
      </x:c>
      <x:c r="I10" s="41" t="str">
        <x:v>Zeit bis zum ersten produktiven Event</x:v>
      </x:c>
      <x:c r="J10" s="41" t="str">
        <x:v>≤10 Arbeitstage</x:v>
      </x:c>
    </x:row>
    <x:row r="11">
      <x:c r="A11" s="41" t="str">
        <x:v>Communication-Control-Plane-Fit</x:v>
      </x:c>
      <x:c r="B11" s="44" t="n">
        <x:v>13</x:v>
      </x:c>
      <x:c r="C11" s="45"/>
      <x:c r="D11" s="45"/>
      <x:c r="E11" s="41" t="n">
        <x:f>B11*C11/5*D11/4</x:f>
        <x:v>0</x:v>
      </x:c>
      <x:c r="F11" s="45"/>
      <x:c r="G11" s="45"/>
      <x:c r="H11" s="41" t="n">
        <x:f>B11*F11/5*G11/4</x:f>
        <x:v>0</x:v>
      </x:c>
      <x:c r="I11" s="41" t="str">
        <x:v>Identity, Context, Policy, Handoff, Commitment</x:v>
      </x:c>
      <x:c r="J11" s="41" t="str">
        <x:v>Kern unverändert</x:v>
      </x:c>
    </x:row>
    <x:row r="12">
      <x:c r="A12" s="41" t="str">
        <x:v>Geringer Anpassungsbedarf</x:v>
      </x:c>
      <x:c r="B12" s="44" t="n">
        <x:v>8</x:v>
      </x:c>
      <x:c r="C12" s="45"/>
      <x:c r="D12" s="45"/>
      <x:c r="E12" s="41" t="n">
        <x:f>B12*C12/5*D12/4</x:f>
        <x:v>0</x:v>
      </x:c>
      <x:c r="F12" s="45"/>
      <x:c r="G12" s="45"/>
      <x:c r="H12" s="41" t="n">
        <x:f>B12*F12/5*G12/4</x:f>
        <x:v>0</x:v>
      </x:c>
      <x:c r="I12" s="41" t="str">
        <x:v>Anteil segment- oder kundenspezifischer Arbeit</x:v>
      </x:c>
      <x:c r="J12" s="41" t="str">
        <x:v>≤20 % segment-/≤10 % kundenspezifisch</x:v>
      </x:c>
    </x:row>
    <x:row r="13">
      <x:c r="A13" s="41" t="str">
        <x:v>Erwartete Unit Economics</x:v>
      </x:c>
      <x:c r="B13" s="44" t="n">
        <x:v>7</x:v>
      </x:c>
      <x:c r="C13" s="45"/>
      <x:c r="D13" s="45"/>
      <x:c r="E13" s="41" t="n">
        <x:f>B13*C13/5*D13/4</x:f>
        <x:v>0</x:v>
      </x:c>
      <x:c r="F13" s="45"/>
      <x:c r="G13" s="45"/>
      <x:c r="H13" s="41" t="n">
        <x:f>B13*F13/5*G13/4</x:f>
        <x:v>0</x:v>
      </x:c>
      <x:c r="I13" s="41" t="str">
        <x:v>3× ROI und tragfähige Gross Margin</x:v>
      </x:c>
      <x:c r="J13" s="41" t="str">
        <x:v>ROI ≥3,0×</x:v>
      </x:c>
    </x:row>
    <x:row r="14">
      <x:c r="A14" s="41" t="str">
        <x:v>Expansion &amp; Plattformwirkung</x:v>
      </x:c>
      <x:c r="B14" s="44" t="n">
        <x:v>5</x:v>
      </x:c>
      <x:c r="C14" s="45"/>
      <x:c r="D14" s="45"/>
      <x:c r="E14" s="41" t="n">
        <x:f>B14*C14/5*D14/4</x:f>
        <x:v>0</x:v>
      </x:c>
      <x:c r="F14" s="45"/>
      <x:c r="G14" s="45"/>
      <x:c r="H14" s="41" t="n">
        <x:f>B14*F14/5*G14/4</x:f>
        <x:v>0</x:v>
      </x:c>
      <x:c r="I14" s="41" t="str">
        <x:v>Weitere Teams, Channels, Agents oder Apps</x:v>
      </x:c>
      <x:c r="J14" s="41" t="str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</x:row>
    <x:row r="16">
      <x:c r="A16" s="42" t="str">
        <x:v>Gesamtgewicht</x:v>
      </x:c>
      <x:c r="B16" s="42" t="n">
        <x:f>SUM(B5:B14)</x:f>
        <x:v>100</x:v>
      </x:c>
      <x:c r="C16" s="42"/>
      <x:c r="D16" s="42" t="str">
        <x:v>A Adjusted Score</x:v>
      </x:c>
      <x:c r="E16" s="42" t="n">
        <x:f>SUM(E5:E14)</x:f>
        <x:v>0</x:v>
      </x:c>
      <x:c r="F16" s="42"/>
      <x:c r="G16" s="42" t="str">
        <x:v>B Adjusted Score</x:v>
      </x:c>
      <x:c r="H16" s="42" t="n">
        <x:f>SUM(H5:H14)</x:f>
        <x:v>0</x:v>
      </x:c>
      <x:c r="I16" s="42"/>
      <x:c r="J16" s="42"/>
    </x:row>
  </x:sheetData>
  <x:mergeCells>
    <x:mergeCell ref="A1:J1"/>
    <x:mergeCell ref="A2:J2"/>
  </x:mergeCells>
  <x:dataValidations count="4">
    <x:dataValidation type="whole" operator="between" sqref="C5:C14">
      <x:formula1>0</x:formula1>
      <x:formula2>5</x:formula2>
    </x:dataValidation>
    <x:dataValidation type="whole" operator="between" sqref="F5:F14">
      <x:formula1>0</x:formula1>
      <x:formula2>5</x:formula2>
    </x:dataValidation>
    <x:dataValidation type="whole" operator="between" sqref="D5:D14">
      <x:formula1>0</x:formula1>
      <x:formula2>4</x:formula2>
    </x:dataValidation>
    <x:dataValidation type="whole" operator="between" sqref="G5:G14">
      <x:formula1>0</x:formula1>
      <x:formula2>4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30" customHeight="1">
      <x:c r="A1" s="37" t="str">
        <x:v>Harte Gates</x:v>
      </x:c>
      <x:c r="B1" s="37" t="str">
        <x:v>Harte Gates</x:v>
      </x:c>
      <x:c r="C1" s="37" t="str">
        <x:v>Harte Gates</x:v>
      </x:c>
      <x:c r="D1" s="37" t="str">
        <x:v>Harte Gates</x:v>
      </x:c>
      <x:c r="E1" s="37" t="str">
        <x:v>Harte Gates</x:v>
      </x:c>
      <x:c r="F1" s="37" t="str">
        <x:v>Harte Gates</x:v>
      </x:c>
      <x:c r="G1" s="37" t="str">
        <x:v>Harte Gates</x:v>
      </x:c>
      <x:c r="H1" s="37" t="str">
        <x:v>Harte Gates</x:v>
      </x:c>
    </x:row>
    <x:row r="2" ht="34" customHeight="1">
      <x:c r="A2" s="38" t="str">
        <x:v>Alle Gates müssen bestanden sein. Blaue Zellen sind Eingaben; Einheiten beachten.</x:v>
      </x:c>
      <x:c r="B2" s="38" t="str">
        <x:v>Alle Gates müssen bestanden sein. Blaue Zellen sind Eingaben; Einheiten beachten.</x:v>
      </x:c>
      <x:c r="C2" s="38" t="str">
        <x:v>Alle Gates müssen bestanden sein. Blaue Zellen sind Eingaben; Einheiten beachten.</x:v>
      </x:c>
      <x:c r="D2" s="38" t="str">
        <x:v>Alle Gates müssen bestanden sein. Blaue Zellen sind Eingaben; Einheiten beachten.</x:v>
      </x:c>
      <x:c r="E2" s="38" t="str">
        <x:v>Alle Gates müssen bestanden sein. Blaue Zellen sind Eingaben; Einheiten beachten.</x:v>
      </x:c>
      <x:c r="F2" s="38" t="str">
        <x:v>Alle Gates müssen bestanden sein. Blaue Zellen sind Eingaben; Einheiten beachten.</x:v>
      </x:c>
      <x:c r="G2" s="38" t="str">
        <x:v>Alle Gates müssen bestanden sein. Blaue Zellen sind Eingaben; Einheiten beachten.</x:v>
      </x:c>
      <x:c r="H2" s="38" t="str">
        <x:v>Alle Gates müssen bestanden sein. Blaue Zellen sind Eingaben; Einheiten beachten.</x:v>
      </x:c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6" customHeight="1">
      <x:c r="A4" s="40" t="str">
        <x:v>Gate</x:v>
      </x:c>
      <x:c r="B4" s="40" t="str">
        <x:v>Einheit</x:v>
      </x:c>
      <x:c r="C4" s="40" t="str">
        <x:v>Schwelle</x:v>
      </x:c>
      <x:c r="D4" s="40" t="str">
        <x:v>A Ist</x:v>
      </x:c>
      <x:c r="E4" s="40" t="str">
        <x:v>A Status</x:v>
      </x:c>
      <x:c r="F4" s="40" t="str">
        <x:v>B Ist</x:v>
      </x:c>
      <x:c r="G4" s="40" t="str">
        <x:v>B Status</x:v>
      </x:c>
      <x:c r="H4" s="40" t="str">
        <x:v>Beleg/Notiz</x:v>
      </x:c>
    </x:row>
    <x:row r="5">
      <x:c r="A5" s="41" t="str">
        <x:v>Bezahlte Pilotzusagen</x:v>
      </x:c>
      <x:c r="B5" s="41" t="str">
        <x:v>Anzahl</x:v>
      </x:c>
      <x:c r="C5" s="41" t="n">
        <x:v>2</x:v>
      </x:c>
      <x:c r="D5" s="45"/>
      <x:c r="E5" s="41" t="str">
        <x:f>IF(D5="","OPEN",IF(D5&gt;=C5,"PASS","FAIL"))</x:f>
        <x:v>OPEN</x:v>
      </x:c>
      <x:c r="F5" s="45"/>
      <x:c r="G5" s="41" t="str">
        <x:f>IF(F5="","OPEN",IF(F5&gt;=C5,"PASS","FAIL"))</x:f>
        <x:v>OPEN</x:v>
      </x:c>
      <x:c r="H5" s="41"/>
    </x:row>
    <x:row r="6">
      <x:c r="A6" s="41" t="str">
        <x:v>Time-to-first-event</x:v>
      </x:c>
      <x:c r="B6" s="41" t="str">
        <x:v>Arbeitstage max.</x:v>
      </x:c>
      <x:c r="C6" s="41" t="n">
        <x:v>10</x:v>
      </x:c>
      <x:c r="D6" s="45"/>
      <x:c r="E6" s="41" t="str">
        <x:f>IF(D6="","OPEN",IF(D6&lt;=C6,"PASS","FAIL"))</x:f>
        <x:v>OPEN</x:v>
      </x:c>
      <x:c r="F6" s="45"/>
      <x:c r="G6" s="41" t="str">
        <x:f>IF(F6="","OPEN",IF(F6&lt;=C6,"PASS","FAIL"))</x:f>
        <x:v>OPEN</x:v>
      </x:c>
      <x:c r="H6" s="41"/>
    </x:row>
    <x:row r="7">
      <x:c r="A7" s="41" t="str">
        <x:v>Kundenspezifische Entwicklung</x:v>
      </x:c>
      <x:c r="B7" s="41" t="str">
        <x:v>% max.</x:v>
      </x:c>
      <x:c r="C7" s="46" t="n">
        <x:v>0.2</x:v>
      </x:c>
      <x:c r="D7" s="47"/>
      <x:c r="E7" s="41" t="str">
        <x:f>IF(D7="","OPEN",IF(D7&lt;=C7,"PASS","FAIL"))</x:f>
        <x:v>OPEN</x:v>
      </x:c>
      <x:c r="F7" s="47"/>
      <x:c r="G7" s="41" t="str">
        <x:f>IF(F7="","OPEN",IF(F7&lt;=C7,"PASS","FAIL"))</x:f>
        <x:v>OPEN</x:v>
      </x:c>
      <x:c r="H7" s="41"/>
    </x:row>
    <x:row r="8">
      <x:c r="A8" s="41" t="str">
        <x:v>ROI innerhalb 12 Monate</x:v>
      </x:c>
      <x:c r="B8" s="41" t="str">
        <x:v>Multiple min.</x:v>
      </x:c>
      <x:c r="C8" s="41" t="n">
        <x:v>3</x:v>
      </x:c>
      <x:c r="D8" s="45"/>
      <x:c r="E8" s="41" t="str">
        <x:f>IF(D8="","OPEN",IF(D8&gt;=C8,"PASS","FAIL"))</x:f>
        <x:v>OPEN</x:v>
      </x:c>
      <x:c r="F8" s="45"/>
      <x:c r="G8" s="41" t="str">
        <x:f>IF(F8="","OPEN",IF(F8&gt;=C8,"PASS","FAIL"))</x:f>
        <x:v>OPEN</x:v>
      </x:c>
      <x:c r="H8" s="41"/>
    </x:row>
    <x:row r="9">
      <x:c r="A9" s="41" t="str">
        <x:v>Aktuell budgetierter Problemschmerz</x:v>
      </x:c>
      <x:c r="B9" s="41" t="str">
        <x:v>1=ja</x:v>
      </x:c>
      <x:c r="C9" s="41" t="n">
        <x:v>1</x:v>
      </x:c>
      <x:c r="D9" s="45"/>
      <x:c r="E9" s="41" t="str">
        <x:f>IF(D9="","OPEN",IF(D9=C9,"PASS","FAIL"))</x:f>
        <x:v>OPEN</x:v>
      </x:c>
      <x:c r="F9" s="45"/>
      <x:c r="G9" s="41" t="str">
        <x:f>IF(F9="","OPEN",IF(F9=C9,"PASS","FAIL"))</x:f>
        <x:v>OPEN</x:v>
      </x:c>
      <x:c r="H9" s="41"/>
    </x:row>
    <x:row r="10">
      <x:c r="A10" s="41" t="str">
        <x:v>Kritischer Security-Blocker</x:v>
      </x:c>
      <x:c r="B10" s="41" t="str">
        <x:v>0=nein</x:v>
      </x:c>
      <x:c r="C10" s="41" t="n">
        <x:v>0</x:v>
      </x:c>
      <x:c r="D10" s="45"/>
      <x:c r="E10" s="41" t="str">
        <x:f>IF(D10="","OPEN",IF(D10=C10,"PASS","FAIL"))</x:f>
        <x:v>OPEN</x:v>
      </x:c>
      <x:c r="F10" s="45"/>
      <x:c r="G10" s="41" t="str">
        <x:f>IF(F10="","OPEN",IF(F10=C10,"PASS","FAIL"))</x:f>
        <x:v>OPEN</x:v>
      </x:c>
      <x:c r="H10" s="41"/>
    </x:row>
    <x:row r="11">
      <x:c r="A11" s="41"/>
      <x:c r="B11" s="41"/>
      <x:c r="C11" s="41"/>
      <x:c r="D11" s="41"/>
      <x:c r="E11" s="41"/>
      <x:c r="F11" s="41"/>
      <x:c r="G11" s="41"/>
      <x:c r="H11" s="41"/>
    </x:row>
    <x:row r="12">
      <x:c r="A12" s="42" t="str">
        <x:v>Segment A Gesamtstatus</x:v>
      </x:c>
      <x:c r="B12" s="42"/>
      <x:c r="C12" s="42"/>
      <x:c r="D12" s="42"/>
      <x:c r="E12" s="42" t="str">
        <x:f>IF(COUNTIF(E5:E10,"OPEN")&gt;0,"OPEN",IF(COUNTIF(E5:E10,"FAIL")=0,"PASS","FAIL"))</x:f>
        <x:v>OPEN</x:v>
      </x:c>
      <x:c r="F12" s="42" t="str">
        <x:v>Segment B Gesamtstatus</x:v>
      </x:c>
      <x:c r="G12" s="42" t="str">
        <x:f>IF(COUNTIF(G5:G10,"OPEN")&gt;0,"OPEN",IF(COUNTIF(G5:G10,"FAIL")=0,"PASS","FAIL"))</x:f>
        <x:v>OPEN</x:v>
      </x:c>
      <x:c r="H12" s="42"/>
    </x:row>
  </x:sheetData>
  <x:mergeCells>
    <x:mergeCell ref="A1:H1"/>
    <x:mergeCell ref="A2:H2"/>
  </x:mergeCells>
  <x:conditionalFormatting sqref="E5:E12">
    <x:cfRule type="containsText" dxfId="8" priority="1" operator="containsText" text="PASS"/>
    <x:cfRule type="containsText" dxfId="9" priority="2" operator="containsText" text="QUALIFIZIERT"/>
    <x:cfRule type="containsText" dxfId="10" priority="3" operator="containsText" text="FAIL"/>
    <x:cfRule type="containsText" dxfId="11" priority="4" operator="containsText" text="OFFEN"/>
  </x:conditionalFormatting>
  <x:conditionalFormatting sqref="G5:G12">
    <x:cfRule type="containsText" dxfId="12" priority="5" operator="containsText" text="PASS"/>
    <x:cfRule type="containsText" dxfId="13" priority="6" operator="containsText" text="QUALIFIZIERT"/>
    <x:cfRule type="containsText" dxfId="14" priority="7" operator="containsText" text="FAIL"/>
    <x:cfRule type="containsText" dxfId="15" priority="8" operator="containsText" text="OFFE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28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26" hidden="0" customWidth="1"/>
    <x:col min="14" max="14" width="26" hidden="0" customWidth="1"/>
    <x:col min="15" max="15" width="26" hidden="0" customWidth="1"/>
  </x:cols>
  <x:sheetData>
    <x:row r="1" ht="30" customHeight="1">
      <x:c r="A1" s="37" t="str">
        <x:v>Design-Partner Pipeline</x:v>
      </x:c>
      <x:c r="B1" s="37" t="str">
        <x:v>Design-Partner Pipeline</x:v>
      </x:c>
      <x:c r="C1" s="37" t="str">
        <x:v>Design-Partner Pipeline</x:v>
      </x:c>
      <x:c r="D1" s="37" t="str">
        <x:v>Design-Partner Pipeline</x:v>
      </x:c>
      <x:c r="E1" s="37" t="str">
        <x:v>Design-Partner Pipeline</x:v>
      </x:c>
      <x:c r="F1" s="37" t="str">
        <x:v>Design-Partner Pipeline</x:v>
      </x:c>
      <x:c r="G1" s="37" t="str">
        <x:v>Design-Partner Pipeline</x:v>
      </x:c>
      <x:c r="H1" s="37" t="str">
        <x:v>Design-Partner Pipeline</x:v>
      </x:c>
      <x:c r="I1" s="37" t="str">
        <x:v>Design-Partner Pipeline</x:v>
      </x:c>
      <x:c r="J1" s="37" t="str">
        <x:v>Design-Partner Pipeline</x:v>
      </x:c>
      <x:c r="K1" s="37" t="str">
        <x:v>Design-Partner Pipeline</x:v>
      </x:c>
      <x:c r="L1" s="37" t="str">
        <x:v>Design-Partner Pipeline</x:v>
      </x:c>
      <x:c r="M1" s="37" t="str">
        <x:v>Design-Partner Pipeline</x:v>
      </x:c>
      <x:c r="N1" s="37" t="str">
        <x:v>Design-Partner Pipeline</x:v>
      </x:c>
      <x:c r="O1" s="37" t="str">
        <x:v>Design-Partner Pipeline</x:v>
      </x:c>
    </x:row>
    <x:row r="2" ht="34" customHeight="1">
      <x:c r="A2" s="38" t="str">
        <x:v>Nur konkrete Evidenz und bezahlte Commitments zählen. Status und Scores sind editierbar.</x:v>
      </x:c>
      <x:c r="B2" s="38" t="str">
        <x:v>Nur konkrete Evidenz und bezahlte Commitments zählen. Status und Scores sind editierbar.</x:v>
      </x:c>
      <x:c r="C2" s="38" t="str">
        <x:v>Nur konkrete Evidenz und bezahlte Commitments zählen. Status und Scores sind editierbar.</x:v>
      </x:c>
      <x:c r="D2" s="38" t="str">
        <x:v>Nur konkrete Evidenz und bezahlte Commitments zählen. Status und Scores sind editierbar.</x:v>
      </x:c>
      <x:c r="E2" s="38" t="str">
        <x:v>Nur konkrete Evidenz und bezahlte Commitments zählen. Status und Scores sind editierbar.</x:v>
      </x:c>
      <x:c r="F2" s="38" t="str">
        <x:v>Nur konkrete Evidenz und bezahlte Commitments zählen. Status und Scores sind editierbar.</x:v>
      </x:c>
      <x:c r="G2" s="38" t="str">
        <x:v>Nur konkrete Evidenz und bezahlte Commitments zählen. Status und Scores sind editierbar.</x:v>
      </x:c>
      <x:c r="H2" s="38" t="str">
        <x:v>Nur konkrete Evidenz und bezahlte Commitments zählen. Status und Scores sind editierbar.</x:v>
      </x:c>
      <x:c r="I2" s="38" t="str">
        <x:v>Nur konkrete Evidenz und bezahlte Commitments zählen. Status und Scores sind editierbar.</x:v>
      </x:c>
      <x:c r="J2" s="38" t="str">
        <x:v>Nur konkrete Evidenz und bezahlte Commitments zählen. Status und Scores sind editierbar.</x:v>
      </x:c>
      <x:c r="K2" s="38" t="str">
        <x:v>Nur konkrete Evidenz und bezahlte Commitments zählen. Status und Scores sind editierbar.</x:v>
      </x:c>
      <x:c r="L2" s="38" t="str">
        <x:v>Nur konkrete Evidenz und bezahlte Commitments zählen. Status und Scores sind editierbar.</x:v>
      </x:c>
      <x:c r="M2" s="38" t="str">
        <x:v>Nur konkrete Evidenz und bezahlte Commitments zählen. Status und Scores sind editierbar.</x:v>
      </x:c>
      <x:c r="N2" s="38" t="str">
        <x:v>Nur konkrete Evidenz und bezahlte Commitments zählen. Status und Scores sind editierbar.</x:v>
      </x:c>
      <x:c r="O2" s="38" t="str">
        <x:v>Nur konkrete Evidenz und bezahlte Commitments zählen. Status und Scores sind editierbar.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 ht="36" customHeight="1">
      <x:c r="A4" s="40" t="str">
        <x:v>Firma</x:v>
      </x:c>
      <x:c r="B4" s="40" t="str">
        <x:v>Segment</x:v>
      </x:c>
      <x:c r="C4" s="40" t="str">
        <x:v>Kontakt/Rolle</x:v>
      </x:c>
      <x:c r="D4" s="40" t="str">
        <x:v>Problem</x:v>
      </x:c>
      <x:c r="E4" s="40" t="str">
        <x:v>Pain 0–5</x:v>
      </x:c>
      <x:c r="F4" s="40" t="str">
        <x:v>Budget 0–5</x:v>
      </x:c>
      <x:c r="G4" s="40" t="str">
        <x:v>Core Fit 0–5</x:v>
      </x:c>
      <x:c r="H4" s="40" t="str">
        <x:v>Integration 0–5</x:v>
      </x:c>
      <x:c r="I4" s="40" t="str">
        <x:v>Custom Work 0–5</x:v>
      </x:c>
      <x:c r="J4" s="40" t="str">
        <x:v>ROI 0–5</x:v>
      </x:c>
      <x:c r="K4" s="40" t="str">
        <x:v>Evidence 0–4</x:v>
      </x:c>
      <x:c r="L4" s="40" t="str">
        <x:v>Weighted Score</x:v>
      </x:c>
      <x:c r="M4" s="40" t="str">
        <x:v>Nächster Schritt</x:v>
      </x:c>
      <x:c r="N4" s="40" t="str">
        <x:v>Pilotstatus</x:v>
      </x:c>
      <x:c r="O4" s="40" t="str">
        <x:v>Notiz/Link</x:v>
      </x:c>
    </x:row>
    <x:row r="5">
      <x:c r="A5" s="45"/>
      <x:c r="B5" s="45"/>
      <x:c r="C5" s="45"/>
      <x:c r="D5" s="45"/>
      <x:c r="E5" s="45"/>
      <x:c r="F5" s="45"/>
      <x:c r="G5" s="45"/>
      <x:c r="H5" s="45"/>
      <x:c r="I5" s="45"/>
      <x:c r="J5" s="45"/>
      <x:c r="K5" s="45"/>
      <x:c r="L5" s="41" t="n">
        <x:f>((E5*20)+(F5*20)+(G5*20)+(H5*15)+(I5*10)+(J5*15))/5*K5/4</x:f>
        <x:v>0</x:v>
      </x:c>
      <x:c r="M5" s="45"/>
      <x:c r="N5" s="45"/>
      <x:c r="O5" s="45"/>
    </x:row>
    <x:row r="6">
      <x:c r="A6" s="45"/>
      <x:c r="B6" s="45"/>
      <x:c r="C6" s="45"/>
      <x:c r="D6" s="45"/>
      <x:c r="E6" s="45"/>
      <x:c r="F6" s="45"/>
      <x:c r="G6" s="45"/>
      <x:c r="H6" s="45"/>
      <x:c r="I6" s="45"/>
      <x:c r="J6" s="45"/>
      <x:c r="K6" s="45"/>
      <x:c r="L6" s="41" t="n">
        <x:f>((E6*20)+(F6*20)+(G6*20)+(H6*15)+(I6*10)+(J6*15))/5*K6/4</x:f>
        <x:v>0</x:v>
      </x:c>
      <x:c r="M6" s="45"/>
      <x:c r="N6" s="45"/>
      <x:c r="O6" s="45"/>
    </x:row>
    <x:row r="7">
      <x:c r="A7" s="45"/>
      <x:c r="B7" s="45"/>
      <x:c r="C7" s="45"/>
      <x:c r="D7" s="45"/>
      <x:c r="E7" s="45"/>
      <x:c r="F7" s="45"/>
      <x:c r="G7" s="45"/>
      <x:c r="H7" s="45"/>
      <x:c r="I7" s="45"/>
      <x:c r="J7" s="45"/>
      <x:c r="K7" s="45"/>
      <x:c r="L7" s="41" t="n">
        <x:f>((E7*20)+(F7*20)+(G7*20)+(H7*15)+(I7*10)+(J7*15))/5*K7/4</x:f>
        <x:v>0</x:v>
      </x:c>
      <x:c r="M7" s="45"/>
      <x:c r="N7" s="45"/>
      <x:c r="O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  <x:c r="K8" s="45"/>
      <x:c r="L8" s="41" t="n">
        <x:f>((E8*20)+(F8*20)+(G8*20)+(H8*15)+(I8*10)+(J8*15))/5*K8/4</x:f>
        <x:v>0</x:v>
      </x:c>
      <x:c r="M8" s="45"/>
      <x:c r="N8" s="45"/>
      <x:c r="O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  <x:c r="K9" s="45"/>
      <x:c r="L9" s="41" t="n">
        <x:f>((E9*20)+(F9*20)+(G9*20)+(H9*15)+(I9*10)+(J9*15))/5*K9/4</x:f>
        <x:v>0</x:v>
      </x:c>
      <x:c r="M9" s="45"/>
      <x:c r="N9" s="45"/>
      <x:c r="O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1" t="n">
        <x:f>((E10*20)+(F10*20)+(G10*20)+(H10*15)+(I10*10)+(J10*15))/5*K10/4</x:f>
        <x:v>0</x:v>
      </x:c>
      <x:c r="M10" s="45"/>
      <x:c r="N10" s="45"/>
      <x:c r="O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1" t="n">
        <x:f>((E11*20)+(F11*20)+(G11*20)+(H11*15)+(I11*10)+(J11*15))/5*K11/4</x:f>
        <x:v>0</x:v>
      </x:c>
      <x:c r="M11" s="45"/>
      <x:c r="N11" s="45"/>
      <x:c r="O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1" t="n">
        <x:f>((E12*20)+(F12*20)+(G12*20)+(H12*15)+(I12*10)+(J12*15))/5*K12/4</x:f>
        <x:v>0</x:v>
      </x:c>
      <x:c r="M12" s="45"/>
      <x:c r="N12" s="45"/>
      <x:c r="O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  <x:c r="K13" s="45"/>
      <x:c r="L13" s="41" t="n">
        <x:f>((E13*20)+(F13*20)+(G13*20)+(H13*15)+(I13*10)+(J13*15))/5*K13/4</x:f>
        <x:v>0</x:v>
      </x:c>
      <x:c r="M13" s="45"/>
      <x:c r="N13" s="45"/>
      <x:c r="O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  <x:c r="K14" s="45"/>
      <x:c r="L14" s="41" t="n">
        <x:f>((E14*20)+(F14*20)+(G14*20)+(H14*15)+(I14*10)+(J14*15))/5*K14/4</x:f>
        <x:v>0</x:v>
      </x:c>
      <x:c r="M14" s="45"/>
      <x:c r="N14" s="45"/>
      <x:c r="O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  <x:c r="K15" s="45"/>
      <x:c r="L15" s="41" t="n">
        <x:f>((E15*20)+(F15*20)+(G15*20)+(H15*15)+(I15*10)+(J15*15))/5*K15/4</x:f>
        <x:v>0</x:v>
      </x:c>
      <x:c r="M15" s="45"/>
      <x:c r="N15" s="45"/>
      <x:c r="O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  <x:c r="K16" s="45"/>
      <x:c r="L16" s="41" t="n">
        <x:f>((E16*20)+(F16*20)+(G16*20)+(H16*15)+(I16*10)+(J16*15))/5*K16/4</x:f>
        <x:v>0</x:v>
      </x:c>
      <x:c r="M16" s="45"/>
      <x:c r="N16" s="45"/>
      <x:c r="O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  <x:c r="K17" s="45"/>
      <x:c r="L17" s="41" t="n">
        <x:f>((E17*20)+(F17*20)+(G17*20)+(H17*15)+(I17*10)+(J17*15))/5*K17/4</x:f>
        <x:v>0</x:v>
      </x:c>
      <x:c r="M17" s="45"/>
      <x:c r="N17" s="45"/>
      <x:c r="O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  <x:c r="K18" s="45"/>
      <x:c r="L18" s="41" t="n">
        <x:f>((E18*20)+(F18*20)+(G18*20)+(H18*15)+(I18*10)+(J18*15))/5*K18/4</x:f>
        <x:v>0</x:v>
      </x:c>
      <x:c r="M18" s="45"/>
      <x:c r="N18" s="45"/>
      <x:c r="O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  <x:c r="K19" s="45"/>
      <x:c r="L19" s="41" t="n">
        <x:f>((E19*20)+(F19*20)+(G19*20)+(H19*15)+(I19*10)+(J19*15))/5*K19/4</x:f>
        <x:v>0</x:v>
      </x:c>
      <x:c r="M19" s="45"/>
      <x:c r="N19" s="45"/>
      <x:c r="O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  <x:c r="K20" s="45"/>
      <x:c r="L20" s="41" t="n">
        <x:f>((E20*20)+(F20*20)+(G20*20)+(H20*15)+(I20*10)+(J20*15))/5*K20/4</x:f>
        <x:v>0</x:v>
      </x:c>
      <x:c r="M20" s="45"/>
      <x:c r="N20" s="45"/>
      <x:c r="O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  <x:c r="K21" s="45"/>
      <x:c r="L21" s="41" t="n">
        <x:f>((E21*20)+(F21*20)+(G21*20)+(H21*15)+(I21*10)+(J21*15))/5*K21/4</x:f>
        <x:v>0</x:v>
      </x:c>
      <x:c r="M21" s="45"/>
      <x:c r="N21" s="45"/>
      <x:c r="O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  <x:c r="K22" s="45"/>
      <x:c r="L22" s="41" t="n">
        <x:f>((E22*20)+(F22*20)+(G22*20)+(H22*15)+(I22*10)+(J22*15))/5*K22/4</x:f>
        <x:v>0</x:v>
      </x:c>
      <x:c r="M22" s="45"/>
      <x:c r="N22" s="45"/>
      <x:c r="O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  <x:c r="K23" s="45"/>
      <x:c r="L23" s="41" t="n">
        <x:f>((E23*20)+(F23*20)+(G23*20)+(H23*15)+(I23*10)+(J23*15))/5*K23/4</x:f>
        <x:v>0</x:v>
      </x:c>
      <x:c r="M23" s="45"/>
      <x:c r="N23" s="45"/>
      <x:c r="O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  <x:c r="K24" s="45"/>
      <x:c r="L24" s="41" t="n">
        <x:f>((E24*20)+(F24*20)+(G24*20)+(H24*15)+(I24*10)+(J24*15))/5*K24/4</x:f>
        <x:v>0</x:v>
      </x:c>
      <x:c r="M24" s="45"/>
      <x:c r="N24" s="45"/>
      <x:c r="O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  <x:c r="K25" s="45"/>
      <x:c r="L25" s="41" t="n">
        <x:f>((E25*20)+(F25*20)+(G25*20)+(H25*15)+(I25*10)+(J25*15))/5*K25/4</x:f>
        <x:v>0</x:v>
      </x:c>
      <x:c r="M25" s="45"/>
      <x:c r="N25" s="45"/>
      <x:c r="O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  <x:c r="K26" s="45"/>
      <x:c r="L26" s="41" t="n">
        <x:f>((E26*20)+(F26*20)+(G26*20)+(H26*15)+(I26*10)+(J26*15))/5*K26/4</x:f>
        <x:v>0</x:v>
      </x:c>
      <x:c r="M26" s="45"/>
      <x:c r="N26" s="45"/>
      <x:c r="O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  <x:c r="K27" s="45"/>
      <x:c r="L27" s="41" t="n">
        <x:f>((E27*20)+(F27*20)+(G27*20)+(H27*15)+(I27*10)+(J27*15))/5*K27/4</x:f>
        <x:v>0</x:v>
      </x:c>
      <x:c r="M27" s="45"/>
      <x:c r="N27" s="45"/>
      <x:c r="O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  <x:c r="K28" s="45"/>
      <x:c r="L28" s="41" t="n">
        <x:f>((E28*20)+(F28*20)+(G28*20)+(H28*15)+(I28*10)+(J28*15))/5*K28/4</x:f>
        <x:v>0</x:v>
      </x:c>
      <x:c r="M28" s="45"/>
      <x:c r="N28" s="45"/>
      <x:c r="O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  <x:c r="K29" s="45"/>
      <x:c r="L29" s="41" t="n">
        <x:f>((E29*20)+(F29*20)+(G29*20)+(H29*15)+(I29*10)+(J29*15))/5*K29/4</x:f>
        <x:v>0</x:v>
      </x:c>
      <x:c r="M29" s="45"/>
      <x:c r="N29" s="45"/>
      <x:c r="O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  <x:c r="K30" s="45"/>
      <x:c r="L30" s="41" t="n">
        <x:f>((E30*20)+(F30*20)+(G30*20)+(H30*15)+(I30*10)+(J30*15))/5*K30/4</x:f>
        <x:v>0</x:v>
      </x:c>
      <x:c r="M30" s="45"/>
      <x:c r="N30" s="45"/>
      <x:c r="O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  <x:c r="K31" s="45"/>
      <x:c r="L31" s="41" t="n">
        <x:f>((E31*20)+(F31*20)+(G31*20)+(H31*15)+(I31*10)+(J31*15))/5*K31/4</x:f>
        <x:v>0</x:v>
      </x:c>
      <x:c r="M31" s="45"/>
      <x:c r="N31" s="45"/>
      <x:c r="O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  <x:c r="K32" s="45"/>
      <x:c r="L32" s="41" t="n">
        <x:f>((E32*20)+(F32*20)+(G32*20)+(H32*15)+(I32*10)+(J32*15))/5*K32/4</x:f>
        <x:v>0</x:v>
      </x:c>
      <x:c r="M32" s="45"/>
      <x:c r="N32" s="45"/>
      <x:c r="O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  <x:c r="K33" s="45"/>
      <x:c r="L33" s="41" t="n">
        <x:f>((E33*20)+(F33*20)+(G33*20)+(H33*15)+(I33*10)+(J33*15))/5*K33/4</x:f>
        <x:v>0</x:v>
      </x:c>
      <x:c r="M33" s="45"/>
      <x:c r="N33" s="45"/>
      <x:c r="O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  <x:c r="K34" s="45"/>
      <x:c r="L34" s="41" t="n">
        <x:f>((E34*20)+(F34*20)+(G34*20)+(H34*15)+(I34*10)+(J34*15))/5*K34/4</x:f>
        <x:v>0</x:v>
      </x:c>
      <x:c r="M34" s="45"/>
      <x:c r="N34" s="45"/>
      <x:c r="O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1" t="n">
        <x:f>((E35*20)+(F35*20)+(G35*20)+(H35*15)+(I35*10)+(J35*15))/5*K35/4</x:f>
        <x:v>0</x:v>
      </x:c>
      <x:c r="M35" s="45"/>
      <x:c r="N35" s="45"/>
      <x:c r="O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  <x:c r="K36" s="45"/>
      <x:c r="L36" s="41" t="n">
        <x:f>((E36*20)+(F36*20)+(G36*20)+(H36*15)+(I36*10)+(J36*15))/5*K36/4</x:f>
        <x:v>0</x:v>
      </x:c>
      <x:c r="M36" s="45"/>
      <x:c r="N36" s="45"/>
      <x:c r="O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  <x:c r="K37" s="45"/>
      <x:c r="L37" s="41" t="n">
        <x:f>((E37*20)+(F37*20)+(G37*20)+(H37*15)+(I37*10)+(J37*15))/5*K37/4</x:f>
        <x:v>0</x:v>
      </x:c>
      <x:c r="M37" s="45"/>
      <x:c r="N37" s="45"/>
      <x:c r="O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  <x:c r="K38" s="45"/>
      <x:c r="L38" s="41" t="n">
        <x:f>((E38*20)+(F38*20)+(G38*20)+(H38*15)+(I38*10)+(J38*15))/5*K38/4</x:f>
        <x:v>0</x:v>
      </x:c>
      <x:c r="M38" s="45"/>
      <x:c r="N38" s="45"/>
      <x:c r="O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  <x:c r="K39" s="45"/>
      <x:c r="L39" s="41" t="n">
        <x:f>((E39*20)+(F39*20)+(G39*20)+(H39*15)+(I39*10)+(J39*15))/5*K39/4</x:f>
        <x:v>0</x:v>
      </x:c>
      <x:c r="M39" s="45"/>
      <x:c r="N39" s="45"/>
      <x:c r="O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  <x:c r="K40" s="45"/>
      <x:c r="L40" s="41" t="n">
        <x:f>((E40*20)+(F40*20)+(G40*20)+(H40*15)+(I40*10)+(J40*15))/5*K40/4</x:f>
        <x:v>0</x:v>
      </x:c>
      <x:c r="M40" s="45"/>
      <x:c r="N40" s="45"/>
      <x:c r="O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  <x:c r="K41" s="45"/>
      <x:c r="L41" s="41" t="n">
        <x:f>((E41*20)+(F41*20)+(G41*20)+(H41*15)+(I41*10)+(J41*15))/5*K41/4</x:f>
        <x:v>0</x:v>
      </x:c>
      <x:c r="M41" s="45"/>
      <x:c r="N41" s="45"/>
      <x:c r="O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  <x:c r="K42" s="45"/>
      <x:c r="L42" s="41" t="n">
        <x:f>((E42*20)+(F42*20)+(G42*20)+(H42*15)+(I42*10)+(J42*15))/5*K42/4</x:f>
        <x:v>0</x:v>
      </x:c>
      <x:c r="M42" s="45"/>
      <x:c r="N42" s="45"/>
      <x:c r="O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1" t="n">
        <x:f>((E43*20)+(F43*20)+(G43*20)+(H43*15)+(I43*10)+(J43*15))/5*K43/4</x:f>
        <x:v>0</x:v>
      </x:c>
      <x:c r="M43" s="45"/>
      <x:c r="N43" s="45"/>
      <x:c r="O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1" t="n">
        <x:f>((E44*20)+(F44*20)+(G44*20)+(H44*15)+(I44*10)+(J44*15))/5*K44/4</x:f>
        <x:v>0</x:v>
      </x:c>
      <x:c r="M44" s="45"/>
      <x:c r="N44" s="45"/>
      <x:c r="O44" s="45"/>
    </x:row>
  </x:sheetData>
  <x:mergeCells>
    <x:mergeCell ref="A1:O1"/>
    <x:mergeCell ref="A2:O2"/>
  </x:mergeCells>
  <x:dataValidations count="9">
    <x:dataValidation type="list" sqref="B5:B44">
      <x:formula1>"A,B"</x:formula1>
    </x:dataValidation>
    <x:dataValidation type="whole" operator="between" sqref="E5:E44">
      <x:formula1>0</x:formula1>
      <x:formula2>5</x:formula2>
    </x:dataValidation>
    <x:dataValidation type="whole" operator="between" sqref="F5:F44">
      <x:formula1>0</x:formula1>
      <x:formula2>5</x:formula2>
    </x:dataValidation>
    <x:dataValidation type="whole" operator="between" sqref="G5:G44">
      <x:formula1>0</x:formula1>
      <x:formula2>5</x:formula2>
    </x:dataValidation>
    <x:dataValidation type="whole" operator="between" sqref="H5:H44">
      <x:formula1>0</x:formula1>
      <x:formula2>5</x:formula2>
    </x:dataValidation>
    <x:dataValidation type="whole" operator="between" sqref="I5:I44">
      <x:formula1>0</x:formula1>
      <x:formula2>5</x:formula2>
    </x:dataValidation>
    <x:dataValidation type="whole" operator="between" sqref="J5:J44">
      <x:formula1>0</x:formula1>
      <x:formula2>5</x:formula2>
    </x:dataValidation>
    <x:dataValidation type="whole" operator="between" sqref="K5:K44">
      <x:formula1>0</x:formula1>
      <x:formula2>4</x:formula2>
    </x:dataValidation>
    <x:dataValidation type="list" sqref="N5:N44">
      <x:formula1>"Nicht angesprochen,Discovery,Angebot,Zusage,Abgelehnt"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40" hidden="0" customWidth="1"/>
  </x:cols>
  <x:sheetData>
    <x:row r="1" ht="30" customHeight="1">
      <x:c r="A1" s="37" t="str">
        <x:v>Pilot ROI-Modell</x:v>
      </x:c>
      <x:c r="B1" s="37" t="str">
        <x:v>Pilot ROI-Modell</x:v>
      </x:c>
      <x:c r="C1" s="37" t="str">
        <x:v>Pilot ROI-Modell</x:v>
      </x:c>
      <x:c r="D1" s="37" t="str">
        <x:v>Pilot ROI-Modell</x:v>
      </x:c>
      <x:c r="E1" s="37" t="str">
        <x:v>Pilot ROI-Modell</x:v>
      </x:c>
    </x:row>
    <x:row r="2" ht="34" customHeight="1">
      <x:c r="A2" s="38" t="str">
        <x:v>Blaue Zellen sind Hypothesen/Inputs. Formeln berechnen Jahresnutzen, TCO und ROI.</x:v>
      </x:c>
      <x:c r="B2" s="38" t="str">
        <x:v>Blaue Zellen sind Hypothesen/Inputs. Formeln berechnen Jahresnutzen, TCO und ROI.</x:v>
      </x:c>
      <x:c r="C2" s="38" t="str">
        <x:v>Blaue Zellen sind Hypothesen/Inputs. Formeln berechnen Jahresnutzen, TCO und ROI.</x:v>
      </x:c>
      <x:c r="D2" s="38" t="str">
        <x:v>Blaue Zellen sind Hypothesen/Inputs. Formeln berechnen Jahresnutzen, TCO und ROI.</x:v>
      </x:c>
      <x:c r="E2" s="38" t="str">
        <x:v>Blaue Zellen sind Hypothesen/Inputs. Formeln berechnen Jahresnutzen, TCO und ROI.</x:v>
      </x:c>
    </x:row>
    <x:row r="3">
      <x:c r="A3" s="39"/>
      <x:c r="B3" s="39"/>
      <x:c r="C3" s="39"/>
      <x:c r="D3" s="39"/>
      <x:c r="E3" s="39"/>
    </x:row>
    <x:row r="4" ht="36" customHeight="1">
      <x:c r="A4" s="40" t="str">
        <x:v>Treiber</x:v>
      </x:c>
      <x:c r="B4" s="40" t="str">
        <x:v>Einheit</x:v>
      </x:c>
      <x:c r="C4" s="40" t="str">
        <x:v>Segment A</x:v>
      </x:c>
      <x:c r="D4" s="40" t="str">
        <x:v>Segment B</x:v>
      </x:c>
      <x:c r="E4" s="40" t="str">
        <x:v>Hinweis</x:v>
      </x:c>
    </x:row>
    <x:row r="5">
      <x:c r="A5" s="41" t="str">
        <x:v>Interactions pro Monat</x:v>
      </x:c>
      <x:c r="B5" s="41" t="str">
        <x:v>Anzahl</x:v>
      </x:c>
      <x:c r="C5" s="45" t="n">
        <x:v>4000</x:v>
      </x:c>
      <x:c r="D5" s="45" t="n">
        <x:v>20000</x:v>
      </x:c>
      <x:c r="E5" s="41" t="str">
        <x:v>Hypothese – durch Daten ersetzen</x:v>
      </x:c>
    </x:row>
    <x:row r="6">
      <x:c r="A6" s="41" t="str">
        <x:v>Betroffene Fälle</x:v>
      </x:c>
      <x:c r="B6" s="41" t="str">
        <x:v>%</x:v>
      </x:c>
      <x:c r="C6" s="47" t="n">
        <x:v>0.3</x:v>
      </x:c>
      <x:c r="D6" s="47" t="n">
        <x:v>0.2</x:v>
      </x:c>
      <x:c r="E6" s="41" t="str">
        <x:v>Anteil mit Kontext-/Handoff-Problem</x:v>
      </x:c>
    </x:row>
    <x:row r="7">
      <x:c r="A7" s="41" t="str">
        <x:v>Zeitverlust je Fall</x:v>
      </x:c>
      <x:c r="B7" s="41" t="str">
        <x:v>Minuten</x:v>
      </x:c>
      <x:c r="C7" s="45" t="n">
        <x:v>12</x:v>
      </x:c>
      <x:c r="D7" s="45" t="n">
        <x:v>8</x:v>
      </x:c>
      <x:c r="E7" s="41" t="str">
        <x:v>Beobachtete oder gemessene Minuten</x:v>
      </x:c>
    </x:row>
    <x:row r="8">
      <x:c r="A8" s="41" t="str">
        <x:v>Vollkosten pro Stunde</x:v>
      </x:c>
      <x:c r="B8" s="41" t="str">
        <x:v>EUR</x:v>
      </x:c>
      <x:c r="C8" s="48" t="n">
        <x:v>45</x:v>
      </x:c>
      <x:c r="D8" s="48" t="n">
        <x:v>70</x:v>
      </x:c>
      <x:c r="E8" s="41" t="str">
        <x:v>Vollkosten inkl. Overhead</x:v>
      </x:c>
    </x:row>
    <x:row r="9">
      <x:c r="A9" s="41" t="str">
        <x:v>Vermeidbarer Anteil Zeitverlust</x:v>
      </x:c>
      <x:c r="B9" s="41" t="str">
        <x:v>%</x:v>
      </x:c>
      <x:c r="C9" s="47" t="n">
        <x:v>0.35</x:v>
      </x:c>
      <x:c r="D9" s="47" t="n">
        <x:v>0.3</x:v>
      </x:c>
      <x:c r="E9" s="41" t="str">
        <x:v>Konservativ ansetzen</x:v>
      </x:c>
    </x:row>
    <x:row r="10">
      <x:c r="A10" s="41" t="str">
        <x:v>Jährlicher Fehler-/Verlustschaden</x:v>
      </x:c>
      <x:c r="B10" s="41" t="str">
        <x:v>EUR</x:v>
      </x:c>
      <x:c r="C10" s="48" t="n">
        <x:v>60000</x:v>
      </x:c>
      <x:c r="D10" s="48" t="n">
        <x:v>150000</x:v>
      </x:c>
      <x:c r="E10" s="41" t="str">
        <x:v>Nur belegbare Folgen</x:v>
      </x:c>
    </x:row>
    <x:row r="11">
      <x:c r="A11" s="41" t="str">
        <x:v>Vermeidbarer Schadensanteil</x:v>
      </x:c>
      <x:c r="B11" s="41" t="str">
        <x:v>%</x:v>
      </x:c>
      <x:c r="C11" s="47" t="n">
        <x:v>0.25</x:v>
      </x:c>
      <x:c r="D11" s="47" t="n">
        <x:v>0.2</x:v>
      </x:c>
      <x:c r="E11" s="41" t="str">
        <x:v>Konservativ ansetzen</x:v>
      </x:c>
    </x:row>
    <x:row r="12">
      <x:c r="A12" s="41" t="str">
        <x:v>Zusätzlicher Jahresnutzen</x:v>
      </x:c>
      <x:c r="B12" s="41" t="str">
        <x:v>EUR</x:v>
      </x:c>
      <x:c r="C12" s="48" t="n">
        <x:v>0</x:v>
      </x:c>
      <x:c r="D12" s="48" t="n">
        <x:v>50000</x:v>
      </x:c>
      <x:c r="E12" s="41" t="str">
        <x:v>Optionaler Mehrumsatz/Qualitätsnutzen</x:v>
      </x:c>
    </x:row>
    <x:row r="13">
      <x:c r="A13" s="41" t="str">
        <x:v>Einmaliges Setup</x:v>
      </x:c>
      <x:c r="B13" s="41" t="str">
        <x:v>EUR</x:v>
      </x:c>
      <x:c r="C13" s="48" t="n">
        <x:v>9000</x:v>
      </x:c>
      <x:c r="D13" s="48" t="n">
        <x:v>20000</x:v>
      </x:c>
      <x:c r="E13" s="41" t="str">
        <x:v>Pilot-/Implementierungsfee</x:v>
      </x:c>
    </x:row>
    <x:row r="14">
      <x:c r="A14" s="41" t="str">
        <x:v>Platform Fee pro Monat</x:v>
      </x:c>
      <x:c r="B14" s="41" t="str">
        <x:v>EUR</x:v>
      </x:c>
      <x:c r="C14" s="48" t="n">
        <x:v>4000</x:v>
      </x:c>
      <x:c r="D14" s="48" t="n">
        <x:v>4000</x:v>
      </x:c>
      <x:c r="E14" s="41" t="str">
        <x:v>Jahrescommitment berücksichtigen</x:v>
      </x:c>
    </x:row>
    <x:row r="15">
      <x:c r="A15" s="41" t="str">
        <x:v>Usage/Provider pro Monat</x:v>
      </x:c>
      <x:c r="B15" s="41" t="str">
        <x:v>EUR</x:v>
      </x:c>
      <x:c r="C15" s="48" t="n">
        <x:v>600</x:v>
      </x:c>
      <x:c r="D15" s="48" t="n">
        <x:v>1800</x:v>
      </x:c>
      <x:c r="E15" s="41" t="str">
        <x:v>Channel/Model/Usage</x:v>
      </x:c>
    </x:row>
    <x:row r="16">
      <x:c r="A16" s="41" t="str">
        <x:v>Interne Implementierung</x:v>
      </x:c>
      <x:c r="B16" s="41" t="str">
        <x:v>EUR</x:v>
      </x:c>
      <x:c r="C16" s="48" t="n">
        <x:v>12000</x:v>
      </x:c>
      <x:c r="D16" s="48" t="n">
        <x:v>25000</x:v>
      </x:c>
      <x:c r="E16" s="41" t="str">
        <x:v>Interner Aufwand des Kunden</x:v>
      </x:c>
    </x:row>
    <x:row r="17">
      <x:c r="A17" s="41"/>
      <x:c r="B17" s="41"/>
      <x:c r="C17" s="41"/>
      <x:c r="D17" s="41"/>
      <x:c r="E17" s="41"/>
    </x:row>
    <x:row r="18">
      <x:c r="A18" s="42" t="str">
        <x:v>Jährliche Zeitkosten heute</x:v>
      </x:c>
      <x:c r="B18" s="42" t="str">
        <x:v>EUR</x:v>
      </x:c>
      <x:c r="C18" s="49" t="n">
        <x:f>C5*C6*C7/60*C8*12</x:f>
        <x:v>129600</x:v>
      </x:c>
      <x:c r="D18" s="49" t="n">
        <x:f>D5*D6*D7/60*D8*12</x:f>
        <x:v>448000</x:v>
      </x:c>
      <x:c r="E18" s="42"/>
    </x:row>
    <x:row r="19">
      <x:c r="A19" s="41" t="str">
        <x:v>Jährlicher Zeitnutzen</x:v>
      </x:c>
      <x:c r="B19" s="41" t="str">
        <x:v>EUR</x:v>
      </x:c>
      <x:c r="C19" s="50" t="n">
        <x:f>C18*C9</x:f>
        <x:v>45360</x:v>
      </x:c>
      <x:c r="D19" s="50" t="n">
        <x:f>D18*D9</x:f>
        <x:v>134400</x:v>
      </x:c>
      <x:c r="E19" s="41"/>
    </x:row>
    <x:row r="20">
      <x:c r="A20" s="41" t="str">
        <x:v>Jährlicher Schadensnutzen</x:v>
      </x:c>
      <x:c r="B20" s="41" t="str">
        <x:v>EUR</x:v>
      </x:c>
      <x:c r="C20" s="50" t="n">
        <x:f>C10*C11</x:f>
        <x:v>15000</x:v>
      </x:c>
      <x:c r="D20" s="50" t="n">
        <x:f>D10*D11</x:f>
        <x:v>30000</x:v>
      </x:c>
      <x:c r="E20" s="41"/>
    </x:row>
    <x:row r="21">
      <x:c r="A21" s="41" t="str">
        <x:v>Gesamtnutzen Jahr 1</x:v>
      </x:c>
      <x:c r="B21" s="41" t="str">
        <x:v>EUR</x:v>
      </x:c>
      <x:c r="C21" s="50" t="n">
        <x:f>C19+C20+C12</x:f>
        <x:v>60360</x:v>
      </x:c>
      <x:c r="D21" s="50" t="n">
        <x:f>D19+D20+D12</x:f>
        <x:v>214400</x:v>
      </x:c>
      <x:c r="E21" s="41"/>
    </x:row>
    <x:row r="22">
      <x:c r="A22" s="41" t="str">
        <x:v>TCO Jahr 1</x:v>
      </x:c>
      <x:c r="B22" s="41" t="str">
        <x:v>EUR</x:v>
      </x:c>
      <x:c r="C22" s="50" t="n">
        <x:f>C13+C14*12+C15*12+C16</x:f>
        <x:v>76200</x:v>
      </x:c>
      <x:c r="D22" s="50" t="n">
        <x:f>D13+D14*12+D15*12+D16</x:f>
        <x:v>114600</x:v>
      </x:c>
      <x:c r="E22" s="41"/>
    </x:row>
    <x:row r="23">
      <x:c r="A23" s="41" t="str">
        <x:v>ROI Multiple</x:v>
      </x:c>
      <x:c r="B23" s="41" t="str">
        <x:v>x</x:v>
      </x:c>
      <x:c r="C23" s="51" t="n">
        <x:f>IF(C22=0,0,C21/C22)</x:f>
        <x:v>0.7921259842519685</x:v>
      </x:c>
      <x:c r="D23" s="51" t="n">
        <x:f>IF(D22=0,0,D21/D22)</x:f>
        <x:v>1.8708551483420592</x:v>
      </x:c>
      <x:c r="E23" s="41"/>
    </x:row>
    <x:row r="24">
      <x:c r="A24" s="41"/>
      <x:c r="B24" s="41"/>
      <x:c r="C24" s="41"/>
      <x:c r="D24" s="41"/>
      <x:c r="E24" s="41"/>
    </x:row>
    <x:row r="25">
      <x:c r="A25" s="42" t="str">
        <x:v>Gate ≥3×</x:v>
      </x:c>
      <x:c r="B25" s="42"/>
      <x:c r="C25" s="42" t="str">
        <x:f>IF(C23&gt;=3,"PASS","FAIL")</x:f>
        <x:v>FAIL</x:v>
      </x:c>
      <x:c r="D25" s="42" t="str">
        <x:f>IF(D23&gt;=3,"PASS","FAIL")</x:f>
        <x:v>FAIL</x:v>
      </x:c>
      <x:c r="E25" s="42"/>
    </x:row>
  </x:sheetData>
  <x:mergeCells>
    <x:mergeCell ref="A1:E1"/>
    <x:mergeCell ref="A2:E2"/>
  </x:mergeCells>
  <x:conditionalFormatting sqref="C25:D25">
    <x:cfRule type="containsText" dxfId="16" priority="1" operator="containsText" text="PASS"/>
    <x:cfRule type="containsText" dxfId="17" priority="2" operator="containsText" text="QUALIFIZIERT"/>
    <x:cfRule type="containsText" dxfId="18" priority="3" operator="containsText" text="FAIL"/>
    <x:cfRule type="containsText" dxfId="19" priority="4" operator="containsText" text="OFFEN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31" hidden="0" customWidth="1"/>
  </x:cols>
  <x:sheetData>
    <x:row r="1" ht="30" customHeight="1">
      <x:c r="A1" s="37" t="str">
        <x:v>Standardisierte Pilotangebote</x:v>
      </x:c>
      <x:c r="B1" s="37" t="str">
        <x:v>Standardisierte Pilotangebote</x:v>
      </x:c>
      <x:c r="C1" s="37" t="str">
        <x:v>Standardisierte Pilotangebote</x:v>
      </x:c>
      <x:c r="D1" s="37" t="str">
        <x:v>Standardisierte Pilotangebote</x:v>
      </x:c>
      <x:c r="E1" s="37" t="str">
        <x:v>Standardisierte Pilotangebote</x:v>
      </x:c>
      <x:c r="F1" s="37" t="str">
        <x:v>Standardisierte Pilotangebote</x:v>
      </x:c>
    </x:row>
    <x:row r="2" ht="34" customHeight="1">
      <x:c r="A2" s="38" t="str">
        <x:v>Hypothesen für echte Angebote; keine kostenlose POC und keine individuelle Produkt-Roadmap.</x:v>
      </x:c>
      <x:c r="B2" s="38" t="str">
        <x:v>Hypothesen für echte Angebote; keine kostenlose POC und keine individuelle Produkt-Roadmap.</x:v>
      </x:c>
      <x:c r="C2" s="38" t="str">
        <x:v>Hypothesen für echte Angebote; keine kostenlose POC und keine individuelle Produkt-Roadmap.</x:v>
      </x:c>
      <x:c r="D2" s="38" t="str">
        <x:v>Hypothesen für echte Angebote; keine kostenlose POC und keine individuelle Produkt-Roadmap.</x:v>
      </x:c>
      <x:c r="E2" s="38" t="str">
        <x:v>Hypothesen für echte Angebote; keine kostenlose POC und keine individuelle Produkt-Roadmap.</x:v>
      </x:c>
      <x:c r="F2" s="38" t="str">
        <x:v>Hypothesen für echte Angebote; keine kostenlose POC und keine individuelle Produkt-Roadmap.</x:v>
      </x:c>
    </x:row>
    <x:row r="3">
      <x:c r="A3" s="39"/>
      <x:c r="B3" s="39"/>
      <x:c r="C3" s="39"/>
      <x:c r="D3" s="39"/>
      <x:c r="E3" s="39"/>
      <x:c r="F3" s="39"/>
    </x:row>
    <x:row r="4" ht="36" customHeight="1">
      <x:c r="A4" s="40" t="str">
        <x:v>Element</x:v>
      </x:c>
      <x:c r="B4" s="40" t="str">
        <x:v>Segment A</x:v>
      </x:c>
      <x:c r="C4" s="40" t="str">
        <x:v>Segment B</x:v>
      </x:c>
      <x:c r="D4" s="40" t="str">
        <x:v>Nicht enthalten</x:v>
      </x:c>
      <x:c r="E4" s="40" t="str">
        <x:v>Erfolg</x:v>
      </x:c>
      <x:c r="F4" s="40" t="str">
        <x:v>Abbruch</x:v>
      </x:c>
    </x:row>
    <x:row r="5" ht="32" customHeight="1">
      <x:c r="A5" s="41" t="str">
        <x:v>Dauer</x:v>
      </x:c>
      <x:c r="B5" s="41" t="str">
        <x:v>8 Wochen</x:v>
      </x:c>
      <x:c r="C5" s="41" t="str">
        <x:v>8 Wochen</x:v>
      </x:c>
      <x:c r="D5" s="41" t="str">
        <x:v>Unbegrenzte Verlängerung</x:v>
      </x:c>
      <x:c r="E5" s="41" t="str">
        <x:v>Produktive Nutzung ab Woche 3–4</x:v>
      </x:c>
      <x:c r="F5" s="41" t="str">
        <x:v>Kein Datenzugang bis Tag 5</x:v>
      </x:c>
    </x:row>
    <x:row r="6" ht="32" customHeight="1">
      <x:c r="A6" s="41" t="str">
        <x:v>Preis</x:v>
      </x:c>
      <x:c r="B6" s="41" t="str">
        <x:v>6.000–12.000 EUR</x:v>
      </x:c>
      <x:c r="C6" s="41" t="str">
        <x:v>12.000–25.000 EUR</x:v>
      </x:c>
      <x:c r="D6" s="41" t="str">
        <x:v>Kostenloser POC</x:v>
      </x:c>
      <x:c r="E6" s="41" t="str">
        <x:v>50 % vorausbezahlt</x:v>
      </x:c>
      <x:c r="F6" s="41" t="str">
        <x:v>Keine Zahlungsfreigabe</x:v>
      </x:c>
    </x:row>
    <x:row r="7" ht="32" customHeight="1">
      <x:c r="A7" s="41" t="str">
        <x:v>Scope</x:v>
      </x:c>
      <x:c r="B7" s="41" t="str">
        <x:v>1 Workflow, E-Mail + WhatsApp</x:v>
      </x:c>
      <x:c r="C7" s="41" t="str">
        <x:v>1 Policy-/Handoff-Workflow, API + E-Mail/Web</x:v>
      </x:c>
      <x:c r="D7" s="41" t="str">
        <x:v>CRM-/Helpdesk-Ersatz</x:v>
      </x:c>
      <x:c r="E7" s="41" t="str">
        <x:v>Kernprimitives validiert</x:v>
      </x:c>
      <x:c r="F7" s="41" t="str">
        <x:v>Scope verlangt Kernänderung</x:v>
      </x:c>
    </x:row>
    <x:row r="8" ht="32" customHeight="1">
      <x:c r="A8" s="41" t="str">
        <x:v>Nutzer</x:v>
      </x:c>
      <x:c r="B8" s="41" t="str">
        <x:v>1 Team, max. 20 Operator</x:v>
      </x:c>
      <x:c r="C8" s="41" t="str">
        <x:v>1 Ops-/AI-Team, max. 20 Nutzer</x:v>
      </x:c>
      <x:c r="D8" s="41" t="str">
        <x:v>Unternehmensweiter Rollout</x:v>
      </x:c>
      <x:c r="E8" s="41" t="str">
        <x:v>≥60 % WAU</x:v>
      </x:c>
      <x:c r="F8" s="41" t="str">
        <x:v>Kein benannter Owner</x:v>
      </x:c>
    </x:row>
    <x:row r="9" ht="32" customHeight="1">
      <x:c r="A9" s="41" t="str">
        <x:v>Integration</x:v>
      </x:c>
      <x:c r="B9" s="41" t="str">
        <x:v>1 Stammdatensystem + 2 Channels</x:v>
      </x:c>
      <x:c r="C9" s="41" t="str">
        <x:v>1 System + 2 Eventquellen</x:v>
      </x:c>
      <x:c r="D9" s="41" t="str">
        <x:v>Beliebige Custom Connectoren</x:v>
      </x:c>
      <x:c r="E9" s="41" t="str">
        <x:v>First event ≤10 Arbeitstage</x:v>
      </x:c>
      <x:c r="F9" s="41" t="str">
        <x:v>&gt;10 Arbeitstage ohne externen Blocker</x:v>
      </x:c>
    </x:row>
    <x:row r="10" ht="32" customHeight="1">
      <x:c r="A10" s="41" t="str">
        <x:v>AI</x:v>
      </x:c>
      <x:c r="B10" s="41" t="str">
        <x:v>Summary, Extraction, Draft</x:v>
      </x:c>
      <x:c r="C10" s="41" t="str">
        <x:v>Policy-Check, Handoff, Draft</x:v>
      </x:c>
      <x:c r="D10" s="41" t="str">
        <x:v>Freies autonomes Senden</x:v>
      </x:c>
      <x:c r="E10" s="41" t="str">
        <x:v>Qualität wird evaluiert</x:v>
      </x:c>
      <x:c r="F10" s="41" t="str">
        <x:v>Kritische Fehlaktion</x:v>
      </x:c>
    </x:row>
    <x:row r="11" ht="32" customHeight="1">
      <x:c r="A11" s="41" t="str">
        <x:v>Messung</x:v>
      </x:c>
      <x:c r="B11" s="41" t="str">
        <x:v>Ownership, Handoff, Rückfragen, Zeit</x:v>
      </x:c>
      <x:c r="C11" s="41" t="str">
        <x:v>Policy-Verstöße, Handoffs, Audit, Zeit</x:v>
      </x:c>
      <x:c r="D11" s="41" t="str">
        <x:v>Vanity Metrics</x:v>
      </x:c>
      <x:c r="E11" s="41" t="str">
        <x:v>Baseline + Nachmessung</x:v>
      </x:c>
      <x:c r="F11" s="41" t="str">
        <x:v>Keine Baseline möglich</x:v>
      </x:c>
    </x:row>
    <x:row r="12" ht="32" customHeight="1">
      <x:c r="A12" s="41" t="str">
        <x:v>Custom Work</x:v>
      </x:c>
      <x:c r="B12" s="41" t="str">
        <x:v>≤20 % Engineering</x:v>
      </x:c>
      <x:c r="C12" s="41" t="str">
        <x:v>≤20 % Engineering</x:v>
      </x:c>
      <x:c r="D12" s="41" t="str">
        <x:v>Kundenspezifische Roadmap</x:v>
      </x:c>
      <x:c r="E12" s="41" t="str">
        <x:v>Wiederverwendbare Konfiguration</x:v>
      </x:c>
      <x:c r="F12" s="41" t="str">
        <x:v>&gt;20 % exklusiv</x:v>
      </x:c>
    </x:row>
    <x:row r="13" ht="32" customHeight="1">
      <x:c r="A13" s="41" t="str">
        <x:v>Entscheidung</x:v>
      </x:c>
      <x:c r="B13" s="41" t="str">
        <x:v>Fortsetzung/Expansion/Stop</x:v>
      </x:c>
      <x:c r="C13" s="41" t="str">
        <x:v>Jahresvertrag/Expansion/Stop</x:v>
      </x:c>
      <x:c r="D13" s="41" t="str">
        <x:v>Unverbindliche Absicht</x:v>
      </x:c>
      <x:c r="E13" s="41" t="str">
        <x:v>Unterschriftsfähiger Next Step</x:v>
      </x:c>
      <x:c r="F13" s="41" t="str">
        <x:v>Keine Kaufentscheidung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45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</x:cols>
  <x:sheetData>
    <x:row r="1" ht="30" customHeight="1">
      <x:c r="A1" s="37" t="str">
        <x:v>Evidence-Log</x:v>
      </x:c>
      <x:c r="B1" s="37" t="str">
        <x:v>Evidence-Log</x:v>
      </x:c>
      <x:c r="C1" s="37" t="str">
        <x:v>Evidence-Log</x:v>
      </x:c>
      <x:c r="D1" s="37" t="str">
        <x:v>Evidence-Log</x:v>
      </x:c>
      <x:c r="E1" s="37" t="str">
        <x:v>Evidence-Log</x:v>
      </x:c>
      <x:c r="F1" s="37" t="str">
        <x:v>Evidence-Log</x:v>
      </x:c>
      <x:c r="G1" s="37" t="str">
        <x:v>Evidence-Log</x:v>
      </x:c>
      <x:c r="H1" s="37" t="str">
        <x:v>Evidence-Log</x:v>
      </x:c>
      <x:c r="I1" s="37" t="str">
        <x:v>Evidence-Log</x:v>
      </x:c>
      <x:c r="J1" s="37" t="str">
        <x:v>Evidence-Log</x:v>
      </x:c>
      <x:c r="K1" s="37" t="str">
        <x:v>Evidence-Log</x:v>
      </x:c>
      <x:c r="L1" s="37" t="str">
        <x:v>Evidence-Log</x:v>
      </x:c>
      <x:c r="M1" s="37" t="str">
        <x:v>Evidence-Log</x:v>
      </x:c>
      <x:c r="N1" s="37" t="str">
        <x:v>Evidence-Log</x:v>
      </x:c>
    </x:row>
    <x:row r="2" ht="34" customHeight="1">
      <x:c r="A2" s="38" t="str">
        <x:v>Eine Zeile pro Evidenzstück. Direkte Beobachtung und Commitment wiegen stärker als Meinungen.</x:v>
      </x:c>
      <x:c r="B2" s="38" t="str">
        <x:v>Eine Zeile pro Evidenzstück. Direkte Beobachtung und Commitment wiegen stärker als Meinungen.</x:v>
      </x:c>
      <x:c r="C2" s="38" t="str">
        <x:v>Eine Zeile pro Evidenzstück. Direkte Beobachtung und Commitment wiegen stärker als Meinungen.</x:v>
      </x:c>
      <x:c r="D2" s="38" t="str">
        <x:v>Eine Zeile pro Evidenzstück. Direkte Beobachtung und Commitment wiegen stärker als Meinungen.</x:v>
      </x:c>
      <x:c r="E2" s="38" t="str">
        <x:v>Eine Zeile pro Evidenzstück. Direkte Beobachtung und Commitment wiegen stärker als Meinungen.</x:v>
      </x:c>
      <x:c r="F2" s="38" t="str">
        <x:v>Eine Zeile pro Evidenzstück. Direkte Beobachtung und Commitment wiegen stärker als Meinungen.</x:v>
      </x:c>
      <x:c r="G2" s="38" t="str">
        <x:v>Eine Zeile pro Evidenzstück. Direkte Beobachtung und Commitment wiegen stärker als Meinungen.</x:v>
      </x:c>
      <x:c r="H2" s="38" t="str">
        <x:v>Eine Zeile pro Evidenzstück. Direkte Beobachtung und Commitment wiegen stärker als Meinungen.</x:v>
      </x:c>
      <x:c r="I2" s="38" t="str">
        <x:v>Eine Zeile pro Evidenzstück. Direkte Beobachtung und Commitment wiegen stärker als Meinungen.</x:v>
      </x:c>
      <x:c r="J2" s="38" t="str">
        <x:v>Eine Zeile pro Evidenzstück. Direkte Beobachtung und Commitment wiegen stärker als Meinungen.</x:v>
      </x:c>
      <x:c r="K2" s="38" t="str">
        <x:v>Eine Zeile pro Evidenzstück. Direkte Beobachtung und Commitment wiegen stärker als Meinungen.</x:v>
      </x:c>
      <x:c r="L2" s="38" t="str">
        <x:v>Eine Zeile pro Evidenzstück. Direkte Beobachtung und Commitment wiegen stärker als Meinungen.</x:v>
      </x:c>
      <x:c r="M2" s="38" t="str">
        <x:v>Eine Zeile pro Evidenzstück. Direkte Beobachtung und Commitment wiegen stärker als Meinungen.</x:v>
      </x:c>
      <x:c r="N2" s="38" t="str">
        <x:v>Eine Zeile pro Evidenzstück. Direkte Beobachtung und Commitment wiegen stärker als Meinungen.</x:v>
      </x:c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 ht="36" customHeight="1">
      <x:c r="A4" s="40" t="str">
        <x:v>Evidence ID</x:v>
      </x:c>
      <x:c r="B4" s="40" t="str">
        <x:v>Datum</x:v>
      </x:c>
      <x:c r="C4" s="40" t="str">
        <x:v>Segment</x:v>
      </x:c>
      <x:c r="D4" s="40" t="str">
        <x:v>Firma</x:v>
      </x:c>
      <x:c r="E4" s="40" t="str">
        <x:v>Rolle</x:v>
      </x:c>
      <x:c r="F4" s="40" t="str">
        <x:v>Typ</x:v>
      </x:c>
      <x:c r="G4" s="40" t="str">
        <x:v>Claim/Beobachtung</x:v>
      </x:c>
      <x:c r="H4" s="40" t="str">
        <x:v>Metrik/Wert</x:v>
      </x:c>
      <x:c r="I4" s="40" t="str">
        <x:v>Quelle/Artefakt</x:v>
      </x:c>
      <x:c r="J4" s="40" t="str">
        <x:v>Qualität 0–4</x:v>
      </x:c>
      <x:c r="K4" s="40" t="str">
        <x:v>Supports/Refutes</x:v>
      </x:c>
      <x:c r="L4" s="40" t="str">
        <x:v>Kriterium</x:v>
      </x:c>
      <x:c r="M4" s="40" t="str">
        <x:v>Interviewer</x:v>
      </x:c>
      <x:c r="N4" s="40" t="str">
        <x:v>Notiz</x:v>
      </x:c>
    </x:row>
    <x:row r="5">
      <x:c r="A5" s="45"/>
      <x:c r="B5" s="52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</x:row>
    <x:row r="6">
      <x:c r="A6" s="45"/>
      <x:c r="B6" s="52"/>
      <x:c r="C6" s="45"/>
      <x:c r="D6" s="45"/>
      <x:c r="E6" s="45"/>
      <x:c r="F6" s="45"/>
      <x:c r="G6" s="45"/>
      <x:c r="H6" s="45"/>
      <x:c r="I6" s="45"/>
      <x:c r="J6" s="45"/>
      <x:c r="K6" s="45"/>
      <x:c r="L6" s="45"/>
      <x:c r="M6" s="45"/>
      <x:c r="N6" s="45"/>
    </x:row>
    <x:row r="7">
      <x:c r="A7" s="45"/>
      <x:c r="B7" s="52"/>
      <x:c r="C7" s="45"/>
      <x:c r="D7" s="45"/>
      <x:c r="E7" s="45"/>
      <x:c r="F7" s="45"/>
      <x:c r="G7" s="45"/>
      <x:c r="H7" s="45"/>
      <x:c r="I7" s="45"/>
      <x:c r="J7" s="45"/>
      <x:c r="K7" s="45"/>
      <x:c r="L7" s="45"/>
      <x:c r="M7" s="45"/>
      <x:c r="N7" s="45"/>
    </x:row>
    <x:row r="8">
      <x:c r="A8" s="45"/>
      <x:c r="B8" s="52"/>
      <x:c r="C8" s="45"/>
      <x:c r="D8" s="45"/>
      <x:c r="E8" s="45"/>
      <x:c r="F8" s="45"/>
      <x:c r="G8" s="45"/>
      <x:c r="H8" s="45"/>
      <x:c r="I8" s="45"/>
      <x:c r="J8" s="45"/>
      <x:c r="K8" s="45"/>
      <x:c r="L8" s="45"/>
      <x:c r="M8" s="45"/>
      <x:c r="N8" s="45"/>
    </x:row>
    <x:row r="9">
      <x:c r="A9" s="45"/>
      <x:c r="B9" s="52"/>
      <x:c r="C9" s="45"/>
      <x:c r="D9" s="45"/>
      <x:c r="E9" s="45"/>
      <x:c r="F9" s="45"/>
      <x:c r="G9" s="45"/>
      <x:c r="H9" s="45"/>
      <x:c r="I9" s="45"/>
      <x:c r="J9" s="45"/>
      <x:c r="K9" s="45"/>
      <x:c r="L9" s="45"/>
      <x:c r="M9" s="45"/>
      <x:c r="N9" s="45"/>
    </x:row>
    <x:row r="10">
      <x:c r="A10" s="45"/>
      <x:c r="B10" s="52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5"/>
      <x:c r="N10" s="45"/>
    </x:row>
    <x:row r="11">
      <x:c r="A11" s="45"/>
      <x:c r="B11" s="52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5"/>
      <x:c r="N11" s="45"/>
    </x:row>
    <x:row r="12">
      <x:c r="A12" s="45"/>
      <x:c r="B12" s="52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5"/>
      <x:c r="N12" s="45"/>
    </x:row>
    <x:row r="13">
      <x:c r="A13" s="45"/>
      <x:c r="B13" s="52"/>
      <x:c r="C13" s="45"/>
      <x:c r="D13" s="45"/>
      <x:c r="E13" s="45"/>
      <x:c r="F13" s="45"/>
      <x:c r="G13" s="45"/>
      <x:c r="H13" s="45"/>
      <x:c r="I13" s="45"/>
      <x:c r="J13" s="45"/>
      <x:c r="K13" s="45"/>
      <x:c r="L13" s="45"/>
      <x:c r="M13" s="45"/>
      <x:c r="N13" s="45"/>
    </x:row>
    <x:row r="14">
      <x:c r="A14" s="45"/>
      <x:c r="B14" s="52"/>
      <x:c r="C14" s="45"/>
      <x:c r="D14" s="45"/>
      <x:c r="E14" s="45"/>
      <x:c r="F14" s="45"/>
      <x:c r="G14" s="45"/>
      <x:c r="H14" s="45"/>
      <x:c r="I14" s="45"/>
      <x:c r="J14" s="45"/>
      <x:c r="K14" s="45"/>
      <x:c r="L14" s="45"/>
      <x:c r="M14" s="45"/>
      <x:c r="N14" s="45"/>
    </x:row>
    <x:row r="15">
      <x:c r="A15" s="45"/>
      <x:c r="B15" s="52"/>
      <x:c r="C15" s="45"/>
      <x:c r="D15" s="45"/>
      <x:c r="E15" s="45"/>
      <x:c r="F15" s="45"/>
      <x:c r="G15" s="45"/>
      <x:c r="H15" s="45"/>
      <x:c r="I15" s="45"/>
      <x:c r="J15" s="45"/>
      <x:c r="K15" s="45"/>
      <x:c r="L15" s="45"/>
      <x:c r="M15" s="45"/>
      <x:c r="N15" s="45"/>
    </x:row>
    <x:row r="16">
      <x:c r="A16" s="45"/>
      <x:c r="B16" s="52"/>
      <x:c r="C16" s="45"/>
      <x:c r="D16" s="45"/>
      <x:c r="E16" s="45"/>
      <x:c r="F16" s="45"/>
      <x:c r="G16" s="45"/>
      <x:c r="H16" s="45"/>
      <x:c r="I16" s="45"/>
      <x:c r="J16" s="45"/>
      <x:c r="K16" s="45"/>
      <x:c r="L16" s="45"/>
      <x:c r="M16" s="45"/>
      <x:c r="N16" s="45"/>
    </x:row>
    <x:row r="17">
      <x:c r="A17" s="45"/>
      <x:c r="B17" s="52"/>
      <x:c r="C17" s="45"/>
      <x:c r="D17" s="45"/>
      <x:c r="E17" s="45"/>
      <x:c r="F17" s="45"/>
      <x:c r="G17" s="45"/>
      <x:c r="H17" s="45"/>
      <x:c r="I17" s="45"/>
      <x:c r="J17" s="45"/>
      <x:c r="K17" s="45"/>
      <x:c r="L17" s="45"/>
      <x:c r="M17" s="45"/>
      <x:c r="N17" s="45"/>
    </x:row>
    <x:row r="18">
      <x:c r="A18" s="45"/>
      <x:c r="B18" s="52"/>
      <x:c r="C18" s="45"/>
      <x:c r="D18" s="45"/>
      <x:c r="E18" s="45"/>
      <x:c r="F18" s="45"/>
      <x:c r="G18" s="45"/>
      <x:c r="H18" s="45"/>
      <x:c r="I18" s="45"/>
      <x:c r="J18" s="45"/>
      <x:c r="K18" s="45"/>
      <x:c r="L18" s="45"/>
      <x:c r="M18" s="45"/>
      <x:c r="N18" s="45"/>
    </x:row>
    <x:row r="19">
      <x:c r="A19" s="45"/>
      <x:c r="B19" s="52"/>
      <x:c r="C19" s="45"/>
      <x:c r="D19" s="45"/>
      <x:c r="E19" s="45"/>
      <x:c r="F19" s="45"/>
      <x:c r="G19" s="45"/>
      <x:c r="H19" s="45"/>
      <x:c r="I19" s="45"/>
      <x:c r="J19" s="45"/>
      <x:c r="K19" s="45"/>
      <x:c r="L19" s="45"/>
      <x:c r="M19" s="45"/>
      <x:c r="N19" s="45"/>
    </x:row>
    <x:row r="20">
      <x:c r="A20" s="45"/>
      <x:c r="B20" s="52"/>
      <x:c r="C20" s="45"/>
      <x:c r="D20" s="45"/>
      <x:c r="E20" s="45"/>
      <x:c r="F20" s="45"/>
      <x:c r="G20" s="45"/>
      <x:c r="H20" s="45"/>
      <x:c r="I20" s="45"/>
      <x:c r="J20" s="45"/>
      <x:c r="K20" s="45"/>
      <x:c r="L20" s="45"/>
      <x:c r="M20" s="45"/>
      <x:c r="N20" s="45"/>
    </x:row>
    <x:row r="21">
      <x:c r="A21" s="45"/>
      <x:c r="B21" s="52"/>
      <x:c r="C21" s="45"/>
      <x:c r="D21" s="45"/>
      <x:c r="E21" s="45"/>
      <x:c r="F21" s="45"/>
      <x:c r="G21" s="45"/>
      <x:c r="H21" s="45"/>
      <x:c r="I21" s="45"/>
      <x:c r="J21" s="45"/>
      <x:c r="K21" s="45"/>
      <x:c r="L21" s="45"/>
      <x:c r="M21" s="45"/>
      <x:c r="N21" s="45"/>
    </x:row>
    <x:row r="22">
      <x:c r="A22" s="45"/>
      <x:c r="B22" s="52"/>
      <x:c r="C22" s="45"/>
      <x:c r="D22" s="45"/>
      <x:c r="E22" s="45"/>
      <x:c r="F22" s="45"/>
      <x:c r="G22" s="45"/>
      <x:c r="H22" s="45"/>
      <x:c r="I22" s="45"/>
      <x:c r="J22" s="45"/>
      <x:c r="K22" s="45"/>
      <x:c r="L22" s="45"/>
      <x:c r="M22" s="45"/>
      <x:c r="N22" s="45"/>
    </x:row>
    <x:row r="23">
      <x:c r="A23" s="45"/>
      <x:c r="B23" s="52"/>
      <x:c r="C23" s="45"/>
      <x:c r="D23" s="45"/>
      <x:c r="E23" s="45"/>
      <x:c r="F23" s="45"/>
      <x:c r="G23" s="45"/>
      <x:c r="H23" s="45"/>
      <x:c r="I23" s="45"/>
      <x:c r="J23" s="45"/>
      <x:c r="K23" s="45"/>
      <x:c r="L23" s="45"/>
      <x:c r="M23" s="45"/>
      <x:c r="N23" s="45"/>
    </x:row>
    <x:row r="24">
      <x:c r="A24" s="45"/>
      <x:c r="B24" s="52"/>
      <x:c r="C24" s="45"/>
      <x:c r="D24" s="45"/>
      <x:c r="E24" s="45"/>
      <x:c r="F24" s="45"/>
      <x:c r="G24" s="45"/>
      <x:c r="H24" s="45"/>
      <x:c r="I24" s="45"/>
      <x:c r="J24" s="45"/>
      <x:c r="K24" s="45"/>
      <x:c r="L24" s="45"/>
      <x:c r="M24" s="45"/>
      <x:c r="N24" s="45"/>
    </x:row>
    <x:row r="25">
      <x:c r="A25" s="45"/>
      <x:c r="B25" s="52"/>
      <x:c r="C25" s="45"/>
      <x:c r="D25" s="45"/>
      <x:c r="E25" s="45"/>
      <x:c r="F25" s="45"/>
      <x:c r="G25" s="45"/>
      <x:c r="H25" s="45"/>
      <x:c r="I25" s="45"/>
      <x:c r="J25" s="45"/>
      <x:c r="K25" s="45"/>
      <x:c r="L25" s="45"/>
      <x:c r="M25" s="45"/>
      <x:c r="N25" s="45"/>
    </x:row>
    <x:row r="26">
      <x:c r="A26" s="45"/>
      <x:c r="B26" s="52"/>
      <x:c r="C26" s="45"/>
      <x:c r="D26" s="45"/>
      <x:c r="E26" s="45"/>
      <x:c r="F26" s="45"/>
      <x:c r="G26" s="45"/>
      <x:c r="H26" s="45"/>
      <x:c r="I26" s="45"/>
      <x:c r="J26" s="45"/>
      <x:c r="K26" s="45"/>
      <x:c r="L26" s="45"/>
      <x:c r="M26" s="45"/>
      <x:c r="N26" s="45"/>
    </x:row>
    <x:row r="27">
      <x:c r="A27" s="45"/>
      <x:c r="B27" s="52"/>
      <x:c r="C27" s="45"/>
      <x:c r="D27" s="45"/>
      <x:c r="E27" s="45"/>
      <x:c r="F27" s="45"/>
      <x:c r="G27" s="45"/>
      <x:c r="H27" s="45"/>
      <x:c r="I27" s="45"/>
      <x:c r="J27" s="45"/>
      <x:c r="K27" s="45"/>
      <x:c r="L27" s="45"/>
      <x:c r="M27" s="45"/>
      <x:c r="N27" s="45"/>
    </x:row>
    <x:row r="28">
      <x:c r="A28" s="45"/>
      <x:c r="B28" s="52"/>
      <x:c r="C28" s="45"/>
      <x:c r="D28" s="45"/>
      <x:c r="E28" s="45"/>
      <x:c r="F28" s="45"/>
      <x:c r="G28" s="45"/>
      <x:c r="H28" s="45"/>
      <x:c r="I28" s="45"/>
      <x:c r="J28" s="45"/>
      <x:c r="K28" s="45"/>
      <x:c r="L28" s="45"/>
      <x:c r="M28" s="45"/>
      <x:c r="N28" s="45"/>
    </x:row>
    <x:row r="29">
      <x:c r="A29" s="45"/>
      <x:c r="B29" s="52"/>
      <x:c r="C29" s="45"/>
      <x:c r="D29" s="45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</x:row>
    <x:row r="30">
      <x:c r="A30" s="45"/>
      <x:c r="B30" s="52"/>
      <x:c r="C30" s="45"/>
      <x:c r="D30" s="45"/>
      <x:c r="E30" s="45"/>
      <x:c r="F30" s="45"/>
      <x:c r="G30" s="45"/>
      <x:c r="H30" s="45"/>
      <x:c r="I30" s="45"/>
      <x:c r="J30" s="45"/>
      <x:c r="K30" s="45"/>
      <x:c r="L30" s="45"/>
      <x:c r="M30" s="45"/>
      <x:c r="N30" s="45"/>
    </x:row>
    <x:row r="31">
      <x:c r="A31" s="45"/>
      <x:c r="B31" s="52"/>
      <x:c r="C31" s="45"/>
      <x:c r="D31" s="45"/>
      <x:c r="E31" s="45"/>
      <x:c r="F31" s="45"/>
      <x:c r="G31" s="45"/>
      <x:c r="H31" s="45"/>
      <x:c r="I31" s="45"/>
      <x:c r="J31" s="45"/>
      <x:c r="K31" s="45"/>
      <x:c r="L31" s="45"/>
      <x:c r="M31" s="45"/>
      <x:c r="N31" s="45"/>
    </x:row>
    <x:row r="32">
      <x:c r="A32" s="45"/>
      <x:c r="B32" s="52"/>
      <x:c r="C32" s="45"/>
      <x:c r="D32" s="45"/>
      <x:c r="E32" s="45"/>
      <x:c r="F32" s="45"/>
      <x:c r="G32" s="45"/>
      <x:c r="H32" s="45"/>
      <x:c r="I32" s="45"/>
      <x:c r="J32" s="45"/>
      <x:c r="K32" s="45"/>
      <x:c r="L32" s="45"/>
      <x:c r="M32" s="45"/>
      <x:c r="N32" s="45"/>
    </x:row>
    <x:row r="33">
      <x:c r="A33" s="45"/>
      <x:c r="B33" s="52"/>
      <x:c r="C33" s="45"/>
      <x:c r="D33" s="45"/>
      <x:c r="E33" s="45"/>
      <x:c r="F33" s="45"/>
      <x:c r="G33" s="45"/>
      <x:c r="H33" s="45"/>
      <x:c r="I33" s="45"/>
      <x:c r="J33" s="45"/>
      <x:c r="K33" s="45"/>
      <x:c r="L33" s="45"/>
      <x:c r="M33" s="45"/>
      <x:c r="N33" s="45"/>
    </x:row>
    <x:row r="34">
      <x:c r="A34" s="45"/>
      <x:c r="B34" s="52"/>
      <x:c r="C34" s="45"/>
      <x:c r="D34" s="45"/>
      <x:c r="E34" s="45"/>
      <x:c r="F34" s="45"/>
      <x:c r="G34" s="45"/>
      <x:c r="H34" s="45"/>
      <x:c r="I34" s="45"/>
      <x:c r="J34" s="45"/>
      <x:c r="K34" s="45"/>
      <x:c r="L34" s="45"/>
      <x:c r="M34" s="45"/>
      <x:c r="N34" s="45"/>
    </x:row>
    <x:row r="35">
      <x:c r="A35" s="45"/>
      <x:c r="B35" s="52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</x:row>
    <x:row r="36">
      <x:c r="A36" s="45"/>
      <x:c r="B36" s="52"/>
      <x:c r="C36" s="45"/>
      <x:c r="D36" s="45"/>
      <x:c r="E36" s="45"/>
      <x:c r="F36" s="45"/>
      <x:c r="G36" s="45"/>
      <x:c r="H36" s="45"/>
      <x:c r="I36" s="45"/>
      <x:c r="J36" s="45"/>
      <x:c r="K36" s="45"/>
      <x:c r="L36" s="45"/>
      <x:c r="M36" s="45"/>
      <x:c r="N36" s="45"/>
    </x:row>
    <x:row r="37">
      <x:c r="A37" s="45"/>
      <x:c r="B37" s="52"/>
      <x:c r="C37" s="45"/>
      <x:c r="D37" s="45"/>
      <x:c r="E37" s="45"/>
      <x:c r="F37" s="45"/>
      <x:c r="G37" s="45"/>
      <x:c r="H37" s="45"/>
      <x:c r="I37" s="45"/>
      <x:c r="J37" s="45"/>
      <x:c r="K37" s="45"/>
      <x:c r="L37" s="45"/>
      <x:c r="M37" s="45"/>
      <x:c r="N37" s="45"/>
    </x:row>
    <x:row r="38">
      <x:c r="A38" s="45"/>
      <x:c r="B38" s="52"/>
      <x:c r="C38" s="45"/>
      <x:c r="D38" s="45"/>
      <x:c r="E38" s="45"/>
      <x:c r="F38" s="45"/>
      <x:c r="G38" s="45"/>
      <x:c r="H38" s="45"/>
      <x:c r="I38" s="45"/>
      <x:c r="J38" s="45"/>
      <x:c r="K38" s="45"/>
      <x:c r="L38" s="45"/>
      <x:c r="M38" s="45"/>
      <x:c r="N38" s="45"/>
    </x:row>
    <x:row r="39">
      <x:c r="A39" s="45"/>
      <x:c r="B39" s="52"/>
      <x:c r="C39" s="45"/>
      <x:c r="D39" s="45"/>
      <x:c r="E39" s="45"/>
      <x:c r="F39" s="45"/>
      <x:c r="G39" s="45"/>
      <x:c r="H39" s="45"/>
      <x:c r="I39" s="45"/>
      <x:c r="J39" s="45"/>
      <x:c r="K39" s="45"/>
      <x:c r="L39" s="45"/>
      <x:c r="M39" s="45"/>
      <x:c r="N39" s="45"/>
    </x:row>
    <x:row r="40">
      <x:c r="A40" s="45"/>
      <x:c r="B40" s="52"/>
      <x:c r="C40" s="45"/>
      <x:c r="D40" s="45"/>
      <x:c r="E40" s="45"/>
      <x:c r="F40" s="45"/>
      <x:c r="G40" s="45"/>
      <x:c r="H40" s="45"/>
      <x:c r="I40" s="45"/>
      <x:c r="J40" s="45"/>
      <x:c r="K40" s="45"/>
      <x:c r="L40" s="45"/>
      <x:c r="M40" s="45"/>
      <x:c r="N40" s="45"/>
    </x:row>
    <x:row r="41">
      <x:c r="A41" s="45"/>
      <x:c r="B41" s="52"/>
      <x:c r="C41" s="45"/>
      <x:c r="D41" s="45"/>
      <x:c r="E41" s="45"/>
      <x:c r="F41" s="45"/>
      <x:c r="G41" s="45"/>
      <x:c r="H41" s="45"/>
      <x:c r="I41" s="45"/>
      <x:c r="J41" s="45"/>
      <x:c r="K41" s="45"/>
      <x:c r="L41" s="45"/>
      <x:c r="M41" s="45"/>
      <x:c r="N41" s="45"/>
    </x:row>
    <x:row r="42">
      <x:c r="A42" s="45"/>
      <x:c r="B42" s="52"/>
      <x:c r="C42" s="45"/>
      <x:c r="D42" s="45"/>
      <x:c r="E42" s="45"/>
      <x:c r="F42" s="45"/>
      <x:c r="G42" s="45"/>
      <x:c r="H42" s="45"/>
      <x:c r="I42" s="45"/>
      <x:c r="J42" s="45"/>
      <x:c r="K42" s="45"/>
      <x:c r="L42" s="45"/>
      <x:c r="M42" s="45"/>
      <x:c r="N42" s="45"/>
    </x:row>
    <x:row r="43">
      <x:c r="A43" s="45"/>
      <x:c r="B43" s="52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</x:row>
    <x:row r="44">
      <x:c r="A44" s="45"/>
      <x:c r="B44" s="52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</x:row>
    <x:row r="45">
      <x:c r="A45" s="45"/>
      <x:c r="B45" s="52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</x:row>
    <x:row r="46">
      <x:c r="A46" s="45"/>
      <x:c r="B46" s="52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</x:row>
    <x:row r="47">
      <x:c r="A47" s="45"/>
      <x:c r="B47" s="52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</x:row>
    <x:row r="48">
      <x:c r="A48" s="45"/>
      <x:c r="B48" s="52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</x:row>
    <x:row r="49">
      <x:c r="A49" s="45"/>
      <x:c r="B49" s="52"/>
      <x:c r="C49" s="45"/>
      <x:c r="D49" s="45"/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</x:row>
    <x:row r="50">
      <x:c r="A50" s="45"/>
      <x:c r="B50" s="52"/>
      <x:c r="C50" s="45"/>
      <x:c r="D50" s="45"/>
      <x:c r="E50" s="45"/>
      <x:c r="F50" s="45"/>
      <x:c r="G50" s="45"/>
      <x:c r="H50" s="45"/>
      <x:c r="I50" s="45"/>
      <x:c r="J50" s="45"/>
      <x:c r="K50" s="45"/>
      <x:c r="L50" s="45"/>
      <x:c r="M50" s="45"/>
      <x:c r="N50" s="45"/>
    </x:row>
    <x:row r="51">
      <x:c r="A51" s="45"/>
      <x:c r="B51" s="52"/>
      <x:c r="C51" s="45"/>
      <x:c r="D51" s="45"/>
      <x:c r="E51" s="45"/>
      <x:c r="F51" s="45"/>
      <x:c r="G51" s="45"/>
      <x:c r="H51" s="45"/>
      <x:c r="I51" s="45"/>
      <x:c r="J51" s="45"/>
      <x:c r="K51" s="45"/>
      <x:c r="L51" s="45"/>
      <x:c r="M51" s="45"/>
      <x:c r="N51" s="45"/>
    </x:row>
    <x:row r="52">
      <x:c r="A52" s="45"/>
      <x:c r="B52" s="52"/>
      <x:c r="C52" s="45"/>
      <x:c r="D52" s="45"/>
      <x:c r="E52" s="45"/>
      <x:c r="F52" s="45"/>
      <x:c r="G52" s="45"/>
      <x:c r="H52" s="45"/>
      <x:c r="I52" s="45"/>
      <x:c r="J52" s="45"/>
      <x:c r="K52" s="45"/>
      <x:c r="L52" s="45"/>
      <x:c r="M52" s="45"/>
      <x:c r="N52" s="45"/>
    </x:row>
    <x:row r="53">
      <x:c r="A53" s="45"/>
      <x:c r="B53" s="52"/>
      <x:c r="C53" s="45"/>
      <x:c r="D53" s="45"/>
      <x:c r="E53" s="45"/>
      <x:c r="F53" s="45"/>
      <x:c r="G53" s="45"/>
      <x:c r="H53" s="45"/>
      <x:c r="I53" s="45"/>
      <x:c r="J53" s="45"/>
      <x:c r="K53" s="45"/>
      <x:c r="L53" s="45"/>
      <x:c r="M53" s="45"/>
      <x:c r="N53" s="45"/>
    </x:row>
    <x:row r="54">
      <x:c r="A54" s="45"/>
      <x:c r="B54" s="52"/>
      <x:c r="C54" s="45"/>
      <x:c r="D54" s="45"/>
      <x:c r="E54" s="45"/>
      <x:c r="F54" s="45"/>
      <x:c r="G54" s="45"/>
      <x:c r="H54" s="45"/>
      <x:c r="I54" s="45"/>
      <x:c r="J54" s="45"/>
      <x:c r="K54" s="45"/>
      <x:c r="L54" s="45"/>
      <x:c r="M54" s="45"/>
      <x:c r="N54" s="45"/>
    </x:row>
    <x:row r="55">
      <x:c r="A55" s="45"/>
      <x:c r="B55" s="52"/>
      <x:c r="C55" s="45"/>
      <x:c r="D55" s="45"/>
      <x:c r="E55" s="45"/>
      <x:c r="F55" s="45"/>
      <x:c r="G55" s="45"/>
      <x:c r="H55" s="45"/>
      <x:c r="I55" s="45"/>
      <x:c r="J55" s="45"/>
      <x:c r="K55" s="45"/>
      <x:c r="L55" s="45"/>
      <x:c r="M55" s="45"/>
      <x:c r="N55" s="45"/>
    </x:row>
    <x:row r="56">
      <x:c r="A56" s="45"/>
      <x:c r="B56" s="52"/>
      <x:c r="C56" s="45"/>
      <x:c r="D56" s="45"/>
      <x:c r="E56" s="45"/>
      <x:c r="F56" s="45"/>
      <x:c r="G56" s="45"/>
      <x:c r="H56" s="45"/>
      <x:c r="I56" s="45"/>
      <x:c r="J56" s="45"/>
      <x:c r="K56" s="45"/>
      <x:c r="L56" s="45"/>
      <x:c r="M56" s="45"/>
      <x:c r="N56" s="45"/>
    </x:row>
    <x:row r="57">
      <x:c r="A57" s="45"/>
      <x:c r="B57" s="52"/>
      <x:c r="C57" s="45"/>
      <x:c r="D57" s="45"/>
      <x:c r="E57" s="45"/>
      <x:c r="F57" s="45"/>
      <x:c r="G57" s="45"/>
      <x:c r="H57" s="45"/>
      <x:c r="I57" s="45"/>
      <x:c r="J57" s="45"/>
      <x:c r="K57" s="45"/>
      <x:c r="L57" s="45"/>
      <x:c r="M57" s="45"/>
      <x:c r="N57" s="45"/>
    </x:row>
    <x:row r="58">
      <x:c r="A58" s="45"/>
      <x:c r="B58" s="52"/>
      <x:c r="C58" s="45"/>
      <x:c r="D58" s="45"/>
      <x:c r="E58" s="45"/>
      <x:c r="F58" s="45"/>
      <x:c r="G58" s="45"/>
      <x:c r="H58" s="45"/>
      <x:c r="I58" s="45"/>
      <x:c r="J58" s="45"/>
      <x:c r="K58" s="45"/>
      <x:c r="L58" s="45"/>
      <x:c r="M58" s="45"/>
      <x:c r="N58" s="45"/>
    </x:row>
    <x:row r="59">
      <x:c r="A59" s="45"/>
      <x:c r="B59" s="52"/>
      <x:c r="C59" s="45"/>
      <x:c r="D59" s="45"/>
      <x:c r="E59" s="45"/>
      <x:c r="F59" s="45"/>
      <x:c r="G59" s="45"/>
      <x:c r="H59" s="45"/>
      <x:c r="I59" s="45"/>
      <x:c r="J59" s="45"/>
      <x:c r="K59" s="45"/>
      <x:c r="L59" s="45"/>
      <x:c r="M59" s="45"/>
      <x:c r="N59" s="45"/>
    </x:row>
    <x:row r="60">
      <x:c r="A60" s="45"/>
      <x:c r="B60" s="52"/>
      <x:c r="C60" s="45"/>
      <x:c r="D60" s="45"/>
      <x:c r="E60" s="45"/>
      <x:c r="F60" s="45"/>
      <x:c r="G60" s="45"/>
      <x:c r="H60" s="45"/>
      <x:c r="I60" s="45"/>
      <x:c r="J60" s="45"/>
      <x:c r="K60" s="45"/>
      <x:c r="L60" s="45"/>
      <x:c r="M60" s="45"/>
      <x:c r="N60" s="45"/>
    </x:row>
    <x:row r="61">
      <x:c r="A61" s="45"/>
      <x:c r="B61" s="52"/>
      <x:c r="C61" s="45"/>
      <x:c r="D61" s="45"/>
      <x:c r="E61" s="45"/>
      <x:c r="F61" s="45"/>
      <x:c r="G61" s="45"/>
      <x:c r="H61" s="45"/>
      <x:c r="I61" s="45"/>
      <x:c r="J61" s="45"/>
      <x:c r="K61" s="45"/>
      <x:c r="L61" s="45"/>
      <x:c r="M61" s="45"/>
      <x:c r="N61" s="45"/>
    </x:row>
    <x:row r="62">
      <x:c r="A62" s="45"/>
      <x:c r="B62" s="52"/>
      <x:c r="C62" s="45"/>
      <x:c r="D62" s="45"/>
      <x:c r="E62" s="45"/>
      <x:c r="F62" s="45"/>
      <x:c r="G62" s="45"/>
      <x:c r="H62" s="45"/>
      <x:c r="I62" s="45"/>
      <x:c r="J62" s="45"/>
      <x:c r="K62" s="45"/>
      <x:c r="L62" s="45"/>
      <x:c r="M62" s="45"/>
      <x:c r="N62" s="45"/>
    </x:row>
    <x:row r="63">
      <x:c r="A63" s="45"/>
      <x:c r="B63" s="52"/>
      <x:c r="C63" s="45"/>
      <x:c r="D63" s="45"/>
      <x:c r="E63" s="45"/>
      <x:c r="F63" s="45"/>
      <x:c r="G63" s="45"/>
      <x:c r="H63" s="45"/>
      <x:c r="I63" s="45"/>
      <x:c r="J63" s="45"/>
      <x:c r="K63" s="45"/>
      <x:c r="L63" s="45"/>
      <x:c r="M63" s="45"/>
      <x:c r="N63" s="45"/>
    </x:row>
    <x:row r="64">
      <x:c r="A64" s="45"/>
      <x:c r="B64" s="52"/>
      <x:c r="C64" s="45"/>
      <x:c r="D64" s="45"/>
      <x:c r="E64" s="45"/>
      <x:c r="F64" s="45"/>
      <x:c r="G64" s="45"/>
      <x:c r="H64" s="45"/>
      <x:c r="I64" s="45"/>
      <x:c r="J64" s="45"/>
      <x:c r="K64" s="45"/>
      <x:c r="L64" s="45"/>
      <x:c r="M64" s="45"/>
      <x:c r="N64" s="45"/>
    </x:row>
    <x:row r="65">
      <x:c r="A65" s="45"/>
      <x:c r="B65" s="52"/>
      <x:c r="C65" s="45"/>
      <x:c r="D65" s="45"/>
      <x:c r="E65" s="45"/>
      <x:c r="F65" s="45"/>
      <x:c r="G65" s="45"/>
      <x:c r="H65" s="45"/>
      <x:c r="I65" s="45"/>
      <x:c r="J65" s="45"/>
      <x:c r="K65" s="45"/>
      <x:c r="L65" s="45"/>
      <x:c r="M65" s="45"/>
      <x:c r="N65" s="45"/>
    </x:row>
    <x:row r="66">
      <x:c r="A66" s="45"/>
      <x:c r="B66" s="52"/>
      <x:c r="C66" s="45"/>
      <x:c r="D66" s="45"/>
      <x:c r="E66" s="45"/>
      <x:c r="F66" s="45"/>
      <x:c r="G66" s="45"/>
      <x:c r="H66" s="45"/>
      <x:c r="I66" s="45"/>
      <x:c r="J66" s="45"/>
      <x:c r="K66" s="45"/>
      <x:c r="L66" s="45"/>
      <x:c r="M66" s="45"/>
      <x:c r="N66" s="45"/>
    </x:row>
    <x:row r="67">
      <x:c r="A67" s="45"/>
      <x:c r="B67" s="52"/>
      <x:c r="C67" s="45"/>
      <x:c r="D67" s="45"/>
      <x:c r="E67" s="45"/>
      <x:c r="F67" s="45"/>
      <x:c r="G67" s="45"/>
      <x:c r="H67" s="45"/>
      <x:c r="I67" s="45"/>
      <x:c r="J67" s="45"/>
      <x:c r="K67" s="45"/>
      <x:c r="L67" s="45"/>
      <x:c r="M67" s="45"/>
      <x:c r="N67" s="45"/>
    </x:row>
    <x:row r="68">
      <x:c r="A68" s="45"/>
      <x:c r="B68" s="52"/>
      <x:c r="C68" s="45"/>
      <x:c r="D68" s="45"/>
      <x:c r="E68" s="45"/>
      <x:c r="F68" s="45"/>
      <x:c r="G68" s="45"/>
      <x:c r="H68" s="45"/>
      <x:c r="I68" s="45"/>
      <x:c r="J68" s="45"/>
      <x:c r="K68" s="45"/>
      <x:c r="L68" s="45"/>
      <x:c r="M68" s="45"/>
      <x:c r="N68" s="45"/>
    </x:row>
    <x:row r="69">
      <x:c r="A69" s="45"/>
      <x:c r="B69" s="52"/>
      <x:c r="C69" s="45"/>
      <x:c r="D69" s="45"/>
      <x:c r="E69" s="45"/>
      <x:c r="F69" s="45"/>
      <x:c r="G69" s="45"/>
      <x:c r="H69" s="45"/>
      <x:c r="I69" s="45"/>
      <x:c r="J69" s="45"/>
      <x:c r="K69" s="45"/>
      <x:c r="L69" s="45"/>
      <x:c r="M69" s="45"/>
      <x:c r="N69" s="45"/>
    </x:row>
    <x:row r="70">
      <x:c r="A70" s="45"/>
      <x:c r="B70" s="52"/>
      <x:c r="C70" s="45"/>
      <x:c r="D70" s="45"/>
      <x:c r="E70" s="45"/>
      <x:c r="F70" s="45"/>
      <x:c r="G70" s="45"/>
      <x:c r="H70" s="45"/>
      <x:c r="I70" s="45"/>
      <x:c r="J70" s="45"/>
      <x:c r="K70" s="45"/>
      <x:c r="L70" s="45"/>
      <x:c r="M70" s="45"/>
      <x:c r="N70" s="45"/>
    </x:row>
    <x:row r="71">
      <x:c r="A71" s="45"/>
      <x:c r="B71" s="52"/>
      <x:c r="C71" s="45"/>
      <x:c r="D71" s="45"/>
      <x:c r="E71" s="45"/>
      <x:c r="F71" s="45"/>
      <x:c r="G71" s="45"/>
      <x:c r="H71" s="45"/>
      <x:c r="I71" s="45"/>
      <x:c r="J71" s="45"/>
      <x:c r="K71" s="45"/>
      <x:c r="L71" s="45"/>
      <x:c r="M71" s="45"/>
      <x:c r="N71" s="45"/>
    </x:row>
    <x:row r="72">
      <x:c r="A72" s="45"/>
      <x:c r="B72" s="52"/>
      <x:c r="C72" s="45"/>
      <x:c r="D72" s="45"/>
      <x:c r="E72" s="45"/>
      <x:c r="F72" s="45"/>
      <x:c r="G72" s="45"/>
      <x:c r="H72" s="45"/>
      <x:c r="I72" s="45"/>
      <x:c r="J72" s="45"/>
      <x:c r="K72" s="45"/>
      <x:c r="L72" s="45"/>
      <x:c r="M72" s="45"/>
      <x:c r="N72" s="45"/>
    </x:row>
    <x:row r="73">
      <x:c r="A73" s="45"/>
      <x:c r="B73" s="52"/>
      <x:c r="C73" s="45"/>
      <x:c r="D73" s="45"/>
      <x:c r="E73" s="45"/>
      <x:c r="F73" s="45"/>
      <x:c r="G73" s="45"/>
      <x:c r="H73" s="45"/>
      <x:c r="I73" s="45"/>
      <x:c r="J73" s="45"/>
      <x:c r="K73" s="45"/>
      <x:c r="L73" s="45"/>
      <x:c r="M73" s="45"/>
      <x:c r="N73" s="45"/>
    </x:row>
    <x:row r="74">
      <x:c r="A74" s="45"/>
      <x:c r="B74" s="52"/>
      <x:c r="C74" s="45"/>
      <x:c r="D74" s="45"/>
      <x:c r="E74" s="45"/>
      <x:c r="F74" s="45"/>
      <x:c r="G74" s="45"/>
      <x:c r="H74" s="45"/>
      <x:c r="I74" s="45"/>
      <x:c r="J74" s="45"/>
      <x:c r="K74" s="45"/>
      <x:c r="L74" s="45"/>
      <x:c r="M74" s="45"/>
      <x:c r="N74" s="45"/>
    </x:row>
    <x:row r="75">
      <x:c r="A75" s="45"/>
      <x:c r="B75" s="52"/>
      <x:c r="C75" s="45"/>
      <x:c r="D75" s="45"/>
      <x:c r="E75" s="45"/>
      <x:c r="F75" s="45"/>
      <x:c r="G75" s="45"/>
      <x:c r="H75" s="45"/>
      <x:c r="I75" s="45"/>
      <x:c r="J75" s="45"/>
      <x:c r="K75" s="45"/>
      <x:c r="L75" s="45"/>
      <x:c r="M75" s="45"/>
      <x:c r="N75" s="45"/>
    </x:row>
    <x:row r="76">
      <x:c r="A76" s="45"/>
      <x:c r="B76" s="52"/>
      <x:c r="C76" s="45"/>
      <x:c r="D76" s="45"/>
      <x:c r="E76" s="45"/>
      <x:c r="F76" s="45"/>
      <x:c r="G76" s="45"/>
      <x:c r="H76" s="45"/>
      <x:c r="I76" s="45"/>
      <x:c r="J76" s="45"/>
      <x:c r="K76" s="45"/>
      <x:c r="L76" s="45"/>
      <x:c r="M76" s="45"/>
      <x:c r="N76" s="45"/>
    </x:row>
    <x:row r="77">
      <x:c r="A77" s="45"/>
      <x:c r="B77" s="52"/>
      <x:c r="C77" s="45"/>
      <x:c r="D77" s="45"/>
      <x:c r="E77" s="45"/>
      <x:c r="F77" s="45"/>
      <x:c r="G77" s="45"/>
      <x:c r="H77" s="45"/>
      <x:c r="I77" s="45"/>
      <x:c r="J77" s="45"/>
      <x:c r="K77" s="45"/>
      <x:c r="L77" s="45"/>
      <x:c r="M77" s="45"/>
      <x:c r="N77" s="45"/>
    </x:row>
    <x:row r="78">
      <x:c r="A78" s="45"/>
      <x:c r="B78" s="52"/>
      <x:c r="C78" s="45"/>
      <x:c r="D78" s="45"/>
      <x:c r="E78" s="45"/>
      <x:c r="F78" s="45"/>
      <x:c r="G78" s="45"/>
      <x:c r="H78" s="45"/>
      <x:c r="I78" s="45"/>
      <x:c r="J78" s="45"/>
      <x:c r="K78" s="45"/>
      <x:c r="L78" s="45"/>
      <x:c r="M78" s="45"/>
      <x:c r="N78" s="45"/>
    </x:row>
    <x:row r="79">
      <x:c r="A79" s="45"/>
      <x:c r="B79" s="52"/>
      <x:c r="C79" s="45"/>
      <x:c r="D79" s="45"/>
      <x:c r="E79" s="45"/>
      <x:c r="F79" s="45"/>
      <x:c r="G79" s="45"/>
      <x:c r="H79" s="45"/>
      <x:c r="I79" s="45"/>
      <x:c r="J79" s="45"/>
      <x:c r="K79" s="45"/>
      <x:c r="L79" s="45"/>
      <x:c r="M79" s="45"/>
      <x:c r="N79" s="45"/>
    </x:row>
    <x:row r="80">
      <x:c r="A80" s="45"/>
      <x:c r="B80" s="52"/>
      <x:c r="C80" s="45"/>
      <x:c r="D80" s="45"/>
      <x:c r="E80" s="45"/>
      <x:c r="F80" s="45"/>
      <x:c r="G80" s="45"/>
      <x:c r="H80" s="45"/>
      <x:c r="I80" s="45"/>
      <x:c r="J80" s="45"/>
      <x:c r="K80" s="45"/>
      <x:c r="L80" s="45"/>
      <x:c r="M80" s="45"/>
      <x:c r="N80" s="45"/>
    </x:row>
    <x:row r="81">
      <x:c r="A81" s="45"/>
      <x:c r="B81" s="52"/>
      <x:c r="C81" s="45"/>
      <x:c r="D81" s="45"/>
      <x:c r="E81" s="45"/>
      <x:c r="F81" s="45"/>
      <x:c r="G81" s="45"/>
      <x:c r="H81" s="45"/>
      <x:c r="I81" s="45"/>
      <x:c r="J81" s="45"/>
      <x:c r="K81" s="45"/>
      <x:c r="L81" s="45"/>
      <x:c r="M81" s="45"/>
      <x:c r="N81" s="45"/>
    </x:row>
    <x:row r="82">
      <x:c r="A82" s="45"/>
      <x:c r="B82" s="52"/>
      <x:c r="C82" s="45"/>
      <x:c r="D82" s="45"/>
      <x:c r="E82" s="45"/>
      <x:c r="F82" s="45"/>
      <x:c r="G82" s="45"/>
      <x:c r="H82" s="45"/>
      <x:c r="I82" s="45"/>
      <x:c r="J82" s="45"/>
      <x:c r="K82" s="45"/>
      <x:c r="L82" s="45"/>
      <x:c r="M82" s="45"/>
      <x:c r="N82" s="45"/>
    </x:row>
    <x:row r="83">
      <x:c r="A83" s="45"/>
      <x:c r="B83" s="52"/>
      <x:c r="C83" s="45"/>
      <x:c r="D83" s="45"/>
      <x:c r="E83" s="45"/>
      <x:c r="F83" s="45"/>
      <x:c r="G83" s="45"/>
      <x:c r="H83" s="45"/>
      <x:c r="I83" s="45"/>
      <x:c r="J83" s="45"/>
      <x:c r="K83" s="45"/>
      <x:c r="L83" s="45"/>
      <x:c r="M83" s="45"/>
      <x:c r="N83" s="45"/>
    </x:row>
    <x:row r="84">
      <x:c r="A84" s="45"/>
      <x:c r="B84" s="52"/>
      <x:c r="C84" s="45"/>
      <x:c r="D84" s="45"/>
      <x:c r="E84" s="45"/>
      <x:c r="F84" s="45"/>
      <x:c r="G84" s="45"/>
      <x:c r="H84" s="45"/>
      <x:c r="I84" s="45"/>
      <x:c r="J84" s="45"/>
      <x:c r="K84" s="45"/>
      <x:c r="L84" s="45"/>
      <x:c r="M84" s="45"/>
      <x:c r="N84" s="45"/>
    </x:row>
    <x:row r="85">
      <x:c r="A85" s="45"/>
      <x:c r="B85" s="52"/>
      <x:c r="C85" s="45"/>
      <x:c r="D85" s="45"/>
      <x:c r="E85" s="45"/>
      <x:c r="F85" s="45"/>
      <x:c r="G85" s="45"/>
      <x:c r="H85" s="45"/>
      <x:c r="I85" s="45"/>
      <x:c r="J85" s="45"/>
      <x:c r="K85" s="45"/>
      <x:c r="L85" s="45"/>
      <x:c r="M85" s="45"/>
      <x:c r="N85" s="45"/>
    </x:row>
    <x:row r="86">
      <x:c r="A86" s="45"/>
      <x:c r="B86" s="52"/>
      <x:c r="C86" s="45"/>
      <x:c r="D86" s="45"/>
      <x:c r="E86" s="45"/>
      <x:c r="F86" s="45"/>
      <x:c r="G86" s="45"/>
      <x:c r="H86" s="45"/>
      <x:c r="I86" s="45"/>
      <x:c r="J86" s="45"/>
      <x:c r="K86" s="45"/>
      <x:c r="L86" s="45"/>
      <x:c r="M86" s="45"/>
      <x:c r="N86" s="45"/>
    </x:row>
    <x:row r="87">
      <x:c r="A87" s="45"/>
      <x:c r="B87" s="52"/>
      <x:c r="C87" s="45"/>
      <x:c r="D87" s="45"/>
      <x:c r="E87" s="45"/>
      <x:c r="F87" s="45"/>
      <x:c r="G87" s="45"/>
      <x:c r="H87" s="45"/>
      <x:c r="I87" s="45"/>
      <x:c r="J87" s="45"/>
      <x:c r="K87" s="45"/>
      <x:c r="L87" s="45"/>
      <x:c r="M87" s="45"/>
      <x:c r="N87" s="45"/>
    </x:row>
    <x:row r="88">
      <x:c r="A88" s="45"/>
      <x:c r="B88" s="52"/>
      <x:c r="C88" s="45"/>
      <x:c r="D88" s="45"/>
      <x:c r="E88" s="45"/>
      <x:c r="F88" s="45"/>
      <x:c r="G88" s="45"/>
      <x:c r="H88" s="45"/>
      <x:c r="I88" s="45"/>
      <x:c r="J88" s="45"/>
      <x:c r="K88" s="45"/>
      <x:c r="L88" s="45"/>
      <x:c r="M88" s="45"/>
      <x:c r="N88" s="45"/>
    </x:row>
    <x:row r="89">
      <x:c r="A89" s="45"/>
      <x:c r="B89" s="52"/>
      <x:c r="C89" s="45"/>
      <x:c r="D89" s="45"/>
      <x:c r="E89" s="45"/>
      <x:c r="F89" s="45"/>
      <x:c r="G89" s="45"/>
      <x:c r="H89" s="45"/>
      <x:c r="I89" s="45"/>
      <x:c r="J89" s="45"/>
      <x:c r="K89" s="45"/>
      <x:c r="L89" s="45"/>
      <x:c r="M89" s="45"/>
      <x:c r="N89" s="45"/>
    </x:row>
    <x:row r="90">
      <x:c r="A90" s="45"/>
      <x:c r="B90" s="52"/>
      <x:c r="C90" s="45"/>
      <x:c r="D90" s="45"/>
      <x:c r="E90" s="45"/>
      <x:c r="F90" s="45"/>
      <x:c r="G90" s="45"/>
      <x:c r="H90" s="45"/>
      <x:c r="I90" s="45"/>
      <x:c r="J90" s="45"/>
      <x:c r="K90" s="45"/>
      <x:c r="L90" s="45"/>
      <x:c r="M90" s="45"/>
      <x:c r="N90" s="45"/>
    </x:row>
    <x:row r="91">
      <x:c r="A91" s="45"/>
      <x:c r="B91" s="52"/>
      <x:c r="C91" s="45"/>
      <x:c r="D91" s="45"/>
      <x:c r="E91" s="45"/>
      <x:c r="F91" s="45"/>
      <x:c r="G91" s="45"/>
      <x:c r="H91" s="45"/>
      <x:c r="I91" s="45"/>
      <x:c r="J91" s="45"/>
      <x:c r="K91" s="45"/>
      <x:c r="L91" s="45"/>
      <x:c r="M91" s="45"/>
      <x:c r="N91" s="45"/>
    </x:row>
    <x:row r="92">
      <x:c r="A92" s="45"/>
      <x:c r="B92" s="52"/>
      <x:c r="C92" s="45"/>
      <x:c r="D92" s="45"/>
      <x:c r="E92" s="45"/>
      <x:c r="F92" s="45"/>
      <x:c r="G92" s="45"/>
      <x:c r="H92" s="45"/>
      <x:c r="I92" s="45"/>
      <x:c r="J92" s="45"/>
      <x:c r="K92" s="45"/>
      <x:c r="L92" s="45"/>
      <x:c r="M92" s="45"/>
      <x:c r="N92" s="45"/>
    </x:row>
    <x:row r="93">
      <x:c r="A93" s="45"/>
      <x:c r="B93" s="52"/>
      <x:c r="C93" s="45"/>
      <x:c r="D93" s="45"/>
      <x:c r="E93" s="45"/>
      <x:c r="F93" s="45"/>
      <x:c r="G93" s="45"/>
      <x:c r="H93" s="45"/>
      <x:c r="I93" s="45"/>
      <x:c r="J93" s="45"/>
      <x:c r="K93" s="45"/>
      <x:c r="L93" s="45"/>
      <x:c r="M93" s="45"/>
      <x:c r="N93" s="45"/>
    </x:row>
    <x:row r="94">
      <x:c r="A94" s="45"/>
      <x:c r="B94" s="52"/>
      <x:c r="C94" s="45"/>
      <x:c r="D94" s="45"/>
      <x:c r="E94" s="45"/>
      <x:c r="F94" s="45"/>
      <x:c r="G94" s="45"/>
      <x:c r="H94" s="45"/>
      <x:c r="I94" s="45"/>
      <x:c r="J94" s="45"/>
      <x:c r="K94" s="45"/>
      <x:c r="L94" s="45"/>
      <x:c r="M94" s="45"/>
      <x:c r="N94" s="45"/>
    </x:row>
    <x:row r="95">
      <x:c r="A95" s="45"/>
      <x:c r="B95" s="52"/>
      <x:c r="C95" s="45"/>
      <x:c r="D95" s="45"/>
      <x:c r="E95" s="45"/>
      <x:c r="F95" s="45"/>
      <x:c r="G95" s="45"/>
      <x:c r="H95" s="45"/>
      <x:c r="I95" s="45"/>
      <x:c r="J95" s="45"/>
      <x:c r="K95" s="45"/>
      <x:c r="L95" s="45"/>
      <x:c r="M95" s="45"/>
      <x:c r="N95" s="45"/>
    </x:row>
    <x:row r="96">
      <x:c r="A96" s="45"/>
      <x:c r="B96" s="52"/>
      <x:c r="C96" s="45"/>
      <x:c r="D96" s="45"/>
      <x:c r="E96" s="45"/>
      <x:c r="F96" s="45"/>
      <x:c r="G96" s="45"/>
      <x:c r="H96" s="45"/>
      <x:c r="I96" s="45"/>
      <x:c r="J96" s="45"/>
      <x:c r="K96" s="45"/>
      <x:c r="L96" s="45"/>
      <x:c r="M96" s="45"/>
      <x:c r="N96" s="45"/>
    </x:row>
    <x:row r="97">
      <x:c r="A97" s="45"/>
      <x:c r="B97" s="52"/>
      <x:c r="C97" s="45"/>
      <x:c r="D97" s="45"/>
      <x:c r="E97" s="45"/>
      <x:c r="F97" s="45"/>
      <x:c r="G97" s="45"/>
      <x:c r="H97" s="45"/>
      <x:c r="I97" s="45"/>
      <x:c r="J97" s="45"/>
      <x:c r="K97" s="45"/>
      <x:c r="L97" s="45"/>
      <x:c r="M97" s="45"/>
      <x:c r="N97" s="45"/>
    </x:row>
    <x:row r="98">
      <x:c r="A98" s="45"/>
      <x:c r="B98" s="52"/>
      <x:c r="C98" s="45"/>
      <x:c r="D98" s="45"/>
      <x:c r="E98" s="45"/>
      <x:c r="F98" s="45"/>
      <x:c r="G98" s="45"/>
      <x:c r="H98" s="45"/>
      <x:c r="I98" s="45"/>
      <x:c r="J98" s="45"/>
      <x:c r="K98" s="45"/>
      <x:c r="L98" s="45"/>
      <x:c r="M98" s="45"/>
      <x:c r="N98" s="45"/>
    </x:row>
    <x:row r="99">
      <x:c r="A99" s="45"/>
      <x:c r="B99" s="52"/>
      <x:c r="C99" s="45"/>
      <x:c r="D99" s="45"/>
      <x:c r="E99" s="45"/>
      <x:c r="F99" s="45"/>
      <x:c r="G99" s="45"/>
      <x:c r="H99" s="45"/>
      <x:c r="I99" s="45"/>
      <x:c r="J99" s="45"/>
      <x:c r="K99" s="45"/>
      <x:c r="L99" s="45"/>
      <x:c r="M99" s="45"/>
      <x:c r="N99" s="45"/>
    </x:row>
    <x:row r="100">
      <x:c r="A100" s="45"/>
      <x:c r="B100" s="52"/>
      <x:c r="C100" s="45"/>
      <x:c r="D100" s="45"/>
      <x:c r="E100" s="45"/>
      <x:c r="F100" s="45"/>
      <x:c r="G100" s="45"/>
      <x:c r="H100" s="45"/>
      <x:c r="I100" s="45"/>
      <x:c r="J100" s="45"/>
      <x:c r="K100" s="45"/>
      <x:c r="L100" s="45"/>
      <x:c r="M100" s="45"/>
      <x:c r="N100" s="45"/>
    </x:row>
    <x:row r="101">
      <x:c r="A101" s="45"/>
      <x:c r="B101" s="52"/>
      <x:c r="C101" s="45"/>
      <x:c r="D101" s="45"/>
      <x:c r="E101" s="45"/>
      <x:c r="F101" s="45"/>
      <x:c r="G101" s="45"/>
      <x:c r="H101" s="45"/>
      <x:c r="I101" s="45"/>
      <x:c r="J101" s="45"/>
      <x:c r="K101" s="45"/>
      <x:c r="L101" s="45"/>
      <x:c r="M101" s="45"/>
      <x:c r="N101" s="45"/>
    </x:row>
    <x:row r="102">
      <x:c r="A102" s="45"/>
      <x:c r="B102" s="52"/>
      <x:c r="C102" s="45"/>
      <x:c r="D102" s="45"/>
      <x:c r="E102" s="45"/>
      <x:c r="F102" s="45"/>
      <x:c r="G102" s="45"/>
      <x:c r="H102" s="45"/>
      <x:c r="I102" s="45"/>
      <x:c r="J102" s="45"/>
      <x:c r="K102" s="45"/>
      <x:c r="L102" s="45"/>
      <x:c r="M102" s="45"/>
      <x:c r="N102" s="45"/>
    </x:row>
    <x:row r="103">
      <x:c r="A103" s="45"/>
      <x:c r="B103" s="52"/>
      <x:c r="C103" s="45"/>
      <x:c r="D103" s="45"/>
      <x:c r="E103" s="45"/>
      <x:c r="F103" s="45"/>
      <x:c r="G103" s="45"/>
      <x:c r="H103" s="45"/>
      <x:c r="I103" s="45"/>
      <x:c r="J103" s="45"/>
      <x:c r="K103" s="45"/>
      <x:c r="L103" s="45"/>
      <x:c r="M103" s="45"/>
      <x:c r="N103" s="45"/>
    </x:row>
    <x:row r="104">
      <x:c r="A104" s="45"/>
      <x:c r="B104" s="52"/>
      <x:c r="C104" s="45"/>
      <x:c r="D104" s="45"/>
      <x:c r="E104" s="45"/>
      <x:c r="F104" s="45"/>
      <x:c r="G104" s="45"/>
      <x:c r="H104" s="45"/>
      <x:c r="I104" s="45"/>
      <x:c r="J104" s="45"/>
      <x:c r="K104" s="45"/>
      <x:c r="L104" s="45"/>
      <x:c r="M104" s="45"/>
      <x:c r="N104" s="45"/>
    </x:row>
  </x:sheetData>
  <x:mergeCells>
    <x:mergeCell ref="A1:N1"/>
    <x:mergeCell ref="A2:N2"/>
  </x:mergeCells>
  <x:dataValidations count="4">
    <x:dataValidation type="list" sqref="C5:C104">
      <x:formula1>"A,B"</x:formula1>
    </x:dataValidation>
    <x:dataValidation type="list" sqref="F5:F104">
      <x:formula1>"Interview,Beobachtung,Daten,Artefakt,Pilot-Commitment,Gegenbeweis"</x:formula1>
    </x:dataValidation>
    <x:dataValidation type="whole" operator="between" sqref="J5:J104">
      <x:formula1>0</x:formula1>
      <x:formula2>4</x:formula2>
    </x:dataValidation>
    <x:dataValidation type="list" sqref="K5:K104">
      <x:formula1>"Supports,Refutes,Neutral"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0" customHeight="1">
      <x:c r="A1" s="37" t="str">
        <x:v>Definitionen &amp; Bewertungsanker</x:v>
      </x:c>
      <x:c r="B1" s="37" t="str">
        <x:v>Definitionen &amp; Bewertungsanker</x:v>
      </x:c>
      <x:c r="C1" s="37" t="str">
        <x:v>Definitionen &amp; Bewertungsanker</x:v>
      </x:c>
      <x:c r="D1" s="37" t="str">
        <x:v>Definitionen &amp; Bewertungsanker</x:v>
      </x:c>
      <x:c r="E1" s="37" t="str">
        <x:v>Definitionen &amp; Bewertungsanker</x:v>
      </x:c>
      <x:c r="F1" s="37" t="str">
        <x:v>Definitionen &amp; Bewertungsanker</x:v>
      </x:c>
    </x:row>
    <x:row r="2" ht="34" customHeight="1">
      <x:c r="A2" s="38" t="str">
        <x:v>Alle Bewertungen müssen mit konkreter Evidenz im Evidence-Log belegt werden.</x:v>
      </x:c>
      <x:c r="B2" s="38" t="str">
        <x:v>Alle Bewertungen müssen mit konkreter Evidenz im Evidence-Log belegt werden.</x:v>
      </x:c>
      <x:c r="C2" s="38" t="str">
        <x:v>Alle Bewertungen müssen mit konkreter Evidenz im Evidence-Log belegt werden.</x:v>
      </x:c>
      <x:c r="D2" s="38" t="str">
        <x:v>Alle Bewertungen müssen mit konkreter Evidenz im Evidence-Log belegt werden.</x:v>
      </x:c>
      <x:c r="E2" s="38" t="str">
        <x:v>Alle Bewertungen müssen mit konkreter Evidenz im Evidence-Log belegt werden.</x:v>
      </x:c>
      <x:c r="F2" s="38" t="str">
        <x:v>Alle Bewertungen müssen mit konkreter Evidenz im Evidence-Log belegt werden.</x:v>
      </x:c>
    </x:row>
    <x:row r="3">
      <x:c r="A3" s="39"/>
      <x:c r="B3" s="39"/>
      <x:c r="C3" s="39"/>
      <x:c r="D3" s="39"/>
      <x:c r="E3" s="39"/>
      <x:c r="F3" s="39"/>
    </x:row>
    <x:row r="4" ht="36" customHeight="1">
      <x:c r="A4" s="40" t="str">
        <x:v>Score</x:v>
      </x:c>
      <x:c r="B4" s="40" t="str">
        <x:v>Problem/Markt</x:v>
      </x:c>
      <x:c r="C4" s="40" t="str">
        <x:v>Zahlungsbereitschaft</x:v>
      </x:c>
      <x:c r="D4" s="40" t="str">
        <x:v>Integration</x:v>
      </x:c>
      <x:c r="E4" s="40" t="str">
        <x:v>Plattform-Fit</x:v>
      </x:c>
      <x:c r="F4" s="40" t="str">
        <x:v>Custom Work</x:v>
      </x:c>
    </x:row>
    <x:row r="5">
      <x:c r="A5" s="41" t="n">
        <x:v>0</x:v>
      </x:c>
      <x:c r="B5" s="41" t="str">
        <x:v>Keine Evidenz / Gegenbeweis</x:v>
      </x:c>
      <x:c r="C5" s="41" t="str">
        <x:v>Keine Zahlungsbereitschaft</x:v>
      </x:c>
      <x:c r="D5" s="41" t="str">
        <x:v>&gt;30 Arbeitstage / unklar</x:v>
      </x:c>
      <x:c r="E5" s="41" t="str">
        <x:v>Verlangt anderes Produkt</x:v>
      </x:c>
      <x:c r="F5" s="41" t="str">
        <x:v>&gt;50 % exklusiv</x:v>
      </x:c>
    </x:row>
    <x:row r="6">
      <x:c r="A6" s="41" t="n">
        <x:v>1</x:v>
      </x:c>
      <x:c r="B6" s="41" t="str">
        <x:v>Selten, geringe Folgen</x:v>
      </x:c>
      <x:c r="C6" s="41" t="str">
        <x:v>Nur kostenloser Test</x:v>
      </x:c>
      <x:c r="D6" s="41" t="str">
        <x:v>21–30 Arbeitstage</x:v>
      </x:c>
      <x:c r="E6" s="41" t="str">
        <x:v>Schwacher Bezug</x:v>
      </x:c>
      <x:c r="F6" s="41" t="str">
        <x:v>41–50 % exklusiv</x:v>
      </x:c>
    </x:row>
    <x:row r="7">
      <x:c r="A7" s="41" t="n">
        <x:v>2</x:v>
      </x:c>
      <x:c r="B7" s="41" t="str">
        <x:v>Gelegentlich, qualitativ</x:v>
      </x:c>
      <x:c r="C7" s="41" t="str">
        <x:v>Interesse ohne Budget</x:v>
      </x:c>
      <x:c r="D7" s="41" t="str">
        <x:v>16–20 Arbeitstage</x:v>
      </x:c>
      <x:c r="E7" s="41" t="str">
        <x:v>Ein Teil des Kerns</x:v>
      </x:c>
      <x:c r="F7" s="41" t="str">
        <x:v>31–40 % exklusiv</x:v>
      </x:c>
    </x:row>
    <x:row r="8">
      <x:c r="A8" s="41" t="n">
        <x:v>3</x:v>
      </x:c>
      <x:c r="B8" s="41" t="str">
        <x:v>Wiederkehrend und messbar</x:v>
      </x:c>
      <x:c r="C8" s="41" t="str">
        <x:v>Budgetpfad benannt</x:v>
      </x:c>
      <x:c r="D8" s="41" t="str">
        <x:v>11–15 Arbeitstage</x:v>
      </x:c>
      <x:c r="E8" s="41" t="str">
        <x:v>Mehrere Kernprimitives</x:v>
      </x:c>
      <x:c r="F8" s="41" t="str">
        <x:v>21–30 % exklusiv</x:v>
      </x:c>
    </x:row>
    <x:row r="9">
      <x:c r="A9" s="41" t="n">
        <x:v>4</x:v>
      </x:c>
      <x:c r="B9" s="41" t="str">
        <x:v>Häufig, aktuell budgetiert</x:v>
      </x:c>
      <x:c r="C9" s="41" t="str">
        <x:v>Akzeptiert Pilotpreis mündlich</x:v>
      </x:c>
      <x:c r="D9" s="41" t="str">
        <x:v>6–10 Arbeitstage</x:v>
      </x:c>
      <x:c r="E9" s="41" t="str">
        <x:v>Direkte Kernvalidierung</x:v>
      </x:c>
      <x:c r="F9" s="41" t="str">
        <x:v>11–20 % exklusiv</x:v>
      </x:c>
    </x:row>
    <x:row r="10">
      <x:c r="A10" s="41" t="n">
        <x:v>5</x:v>
      </x:c>
      <x:c r="B10" s="41" t="str">
        <x:v>Kritisch, quantifiziert, dringend</x:v>
      </x:c>
      <x:c r="C10" s="41" t="str">
        <x:v>Bezahlter Pilot / Unterschrift</x:v>
      </x:c>
      <x:c r="D10" s="41" t="str">
        <x:v>≤5 Arbeitstage</x:v>
      </x:c>
      <x:c r="E10" s="41" t="str">
        <x:v>Validiert Plattform + Expansion</x:v>
      </x:c>
      <x:c r="F10" s="41" t="str">
        <x:v>≤10 % exklusiv</x:v>
      </x:c>
    </x:row>
    <x:row r="11">
      <x:c r="A11" s="41"/>
      <x:c r="B11" s="41"/>
      <x:c r="C11" s="41"/>
      <x:c r="D11" s="41"/>
      <x:c r="E11" s="41"/>
      <x:c r="F11" s="41"/>
    </x:row>
    <x:row r="12">
      <x:c r="A12" s="41"/>
      <x:c r="B12" s="41"/>
      <x:c r="C12" s="41"/>
      <x:c r="D12" s="41"/>
      <x:c r="E12" s="41"/>
      <x:c r="F12" s="41"/>
    </x:row>
    <x:row r="13">
      <x:c r="A13" s="40" t="str">
        <x:v>Evidence-Qualität</x:v>
      </x:c>
      <x:c r="B13" s="40" t="str">
        <x:v>Definition</x:v>
      </x:c>
      <x:c r="C13" s="40" t="str">
        <x:v>Beispiel</x:v>
      </x:c>
      <x:c r="D13" s="41"/>
      <x:c r="E13" s="41"/>
      <x:c r="F13" s="41"/>
    </x:row>
    <x:row r="14" ht="34" customHeight="1">
      <x:c r="A14" s="41" t="n">
        <x:v>0</x:v>
      </x:c>
      <x:c r="B14" s="41" t="str">
        <x:v>Keine Evidenz</x:v>
      </x:c>
      <x:c r="C14" s="41" t="str">
        <x:v>Meinung ohne Beispiel</x:v>
      </x:c>
      <x:c r="D14" s="41"/>
      <x:c r="E14" s="41"/>
      <x:c r="F14" s="41"/>
    </x:row>
    <x:row r="15" ht="34" customHeight="1">
      <x:c r="A15" s="41" t="n">
        <x:v>1</x:v>
      </x:c>
      <x:c r="B15" s="41" t="str">
        <x:v>Behauptung</x:v>
      </x:c>
      <x:c r="C15" s="41" t="str">
        <x:v>Interviewaussage ohne Artefakt oder Zahl</x:v>
      </x:c>
      <x:c r="D15" s="41"/>
      <x:c r="E15" s="41"/>
      <x:c r="F15" s="41"/>
    </x:row>
    <x:row r="16" ht="34" customHeight="1">
      <x:c r="A16" s="41" t="n">
        <x:v>2</x:v>
      </x:c>
      <x:c r="B16" s="41" t="str">
        <x:v>Artefakt</x:v>
      </x:c>
      <x:c r="C16" s="41" t="str">
        <x:v>Ticket, Report, Prozessdokument oder Budgetzeile</x:v>
      </x:c>
      <x:c r="D16" s="41"/>
      <x:c r="E16" s="41"/>
      <x:c r="F16" s="41"/>
    </x:row>
    <x:row r="17" ht="34" customHeight="1">
      <x:c r="A17" s="41" t="n">
        <x:v>3</x:v>
      </x:c>
      <x:c r="B17" s="41" t="str">
        <x:v>Beobachtung + Baseline</x:v>
      </x:c>
      <x:c r="C17" s="41" t="str">
        <x:v>Beobachteter Workflow mit verifizierter Ausgangsmessung</x:v>
      </x:c>
      <x:c r="D17" s="41"/>
      <x:c r="E17" s="41"/>
      <x:c r="F17" s="41"/>
    </x:row>
    <x:row r="18" ht="34" customHeight="1">
      <x:c r="A18" s="41" t="n">
        <x:v>4</x:v>
      </x:c>
      <x:c r="B18" s="41" t="str">
        <x:v>Commitment/Produktion</x:v>
      </x:c>
      <x:c r="C18" s="41" t="str">
        <x:v>Zahlung, Produktionseinsatz oder gemessener Piloteffekt</x:v>
      </x:c>
      <x:c r="D18" s="41"/>
      <x:c r="E18" s="41"/>
      <x:c r="F18" s="41"/>
    </x:row>
    <x:row r="19">
      <x:c r="A19" s="41"/>
      <x:c r="B19" s="41"/>
      <x:c r="C19" s="41"/>
      <x:c r="D19" s="41"/>
      <x:c r="E19" s="41"/>
      <x:c r="F19" s="41"/>
    </x:row>
    <x:row r="20">
      <x:c r="A20" s="40" t="str">
        <x:v>Regel</x:v>
      </x:c>
      <x:c r="B20" s="40" t="str">
        <x:v>Definition</x:v>
      </x:c>
      <x:c r="C20" s="41"/>
      <x:c r="D20" s="41"/>
      <x:c r="E20" s="41"/>
      <x:c r="F20" s="41"/>
    </x:row>
    <x:row r="21" ht="48" customHeight="1">
      <x:c r="A21" s="41" t="str">
        <x:v>Decision Gate</x:v>
      </x:c>
      <x:c r="B21" s="41" t="str">
        <x:v>Ohne bestandene harte Gates kann ein Segment unabhängig vom Score nicht gewinnen.</x:v>
      </x:c>
      <x:c r="C21" s="41"/>
      <x:c r="D21" s="41"/>
      <x:c r="E21" s="41"/>
      <x:c r="F21" s="41"/>
    </x:row>
    <x:row r="22" ht="48" customHeight="1">
      <x:c r="A22" s="41" t="str">
        <x:v>Adjusted Score</x:v>
      </x:c>
      <x:c r="B22" s="41" t="str">
        <x:v>Gewicht × Score/5 × Evidence-Qualität/4.</x:v>
      </x:c>
      <x:c r="C22" s="41"/>
      <x:c r="D22" s="41"/>
      <x:c r="E22" s="41"/>
      <x:c r="F22" s="41"/>
    </x:row>
    <x:row r="23" ht="48" customHeight="1">
      <x:c r="A23" s="41" t="str">
        <x:v>Vision Tiebreaker</x:v>
      </x:c>
      <x:c r="B23" s="41" t="str">
        <x:v>Bei ≤5 Punkten Differenz und bestandenen Gates gewinnt Segment B.</x:v>
      </x:c>
      <x:c r="C23" s="41"/>
      <x:c r="D23" s="41"/>
      <x:c r="E23" s="41"/>
      <x:c r="F23" s="41"/>
    </x:row>
    <x:row r="24" ht="48" customHeight="1">
      <x:c r="A24" s="41" t="str">
        <x:v>Kein kostenloser POC</x:v>
      </x:c>
      <x:c r="B24" s="41" t="str">
        <x:v>Jeder echte Pilot ist bezahlt und zu 50 % vorausbezahlt.</x:v>
      </x:c>
      <x:c r="C24" s="41"/>
      <x:c r="D24" s="41"/>
      <x:c r="E24" s="41"/>
      <x:c r="F24" s="41"/>
    </x:row>
    <x:row r="25" ht="48" customHeight="1">
      <x:c r="A25" s="41" t="str">
        <x:v>Anti-Consulting</x:v>
      </x:c>
      <x:c r="B25" s="41" t="str">
        <x:v>Maximal 20 % kundenspezifische Engineering-Kapazität im Pilot.</x:v>
      </x:c>
      <x:c r="C25" s="41"/>
      <x:c r="D25" s="41"/>
      <x:c r="E25" s="41"/>
      <x:c r="F25" s="41"/>
    </x:row>
    <x:row r="26" ht="48" customHeight="1">
      <x:c r="A26" s="41" t="str">
        <x:v>Build Gate</x:v>
      </x:c>
      <x:c r="B26" s="41" t="str">
        <x:v>Ohne mindestens zwei bezahlte Pilotzusagen im Gewinnersegment wird kein MVP gebaut.</x:v>
      </x:c>
      <x:c r="C26" s="41"/>
      <x:c r="D26" s="41"/>
      <x:c r="E26" s="41"/>
      <x:c r="F26" s="41"/>
    </x:row>
  </x:sheetData>
  <x:mergeCells>
    <x:mergeCell ref="A1:F1"/>
    <x:mergeCell ref="A2:F2"/>
  </x:mergeCells>
  <x:pageMargins left="0.7" right="0.7" top="0.75" bottom="0.75" header="0.3" footer="0.3"/>
</x:worksheet>
</file>