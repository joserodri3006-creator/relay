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41750de2694d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1e24fb3ab4a42e3"/>
    <x:sheet xmlns:r="http://schemas.openxmlformats.org/officeDocument/2006/relationships" name="Accounts" sheetId="2" r:id="R5990d23101b64f24"/>
    <x:sheet xmlns:r="http://schemas.openxmlformats.org/officeDocument/2006/relationships" name="Outreach Pipeline" sheetId="3" r:id="R58ecf511e7664e76"/>
    <x:sheet xmlns:r="http://schemas.openxmlformats.org/officeDocument/2006/relationships" name="4-Wochen-Funnel" sheetId="4" r:id="R58e6dc501d394467"/>
    <x:sheet xmlns:r="http://schemas.openxmlformats.org/officeDocument/2006/relationships" name="Message Library" sheetId="5" r:id="Re0f77e3fe6904fc5"/>
    <x:sheet xmlns:r="http://schemas.openxmlformats.org/officeDocument/2006/relationships" name="Permission &amp; Legal" sheetId="6" r:id="Rcb95e57e781f4bd3"/>
    <x:sheet xmlns:r="http://schemas.openxmlformats.org/officeDocument/2006/relationships" name="Definitionen" sheetId="7" r:id="Rddff920a417444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4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202A"/>
      <x:name val="Carlito"/>
    </x:font>
    <x:font>
      <x:b/>
      <x:sz val="11"/>
      <x:color rgb="FFFFFFFF"/>
      <x:name val="Carlito"/>
    </x:font>
    <x:font>
      <x:sz val="11"/>
      <x:color rgb="FF2563EB"/>
      <x:name val="Carlito"/>
    </x:font>
    <x:font>
      <x:sz val="11"/>
      <x:color rgb="FF667085"/>
      <x:name val="Carlito"/>
    </x:font>
    <x:font>
      <x:b/>
      <x:sz val="11"/>
      <x:color rgb="FF17202A"/>
      <x:name val="Carlito"/>
    </x:font>
    <x:font>
      <x:b/>
      <x:sz val="18"/>
      <x:color rgb="FFFFFFFF"/>
      <x:name val="Aptos"/>
    </x:font>
    <x:font>
      <x:i/>
      <x:sz val="11"/>
      <x:color rgb="FF17202A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1"/>
      <x:color rgb="FF17202A"/>
      <x:name val="Aptos"/>
    </x:font>
    <x:font>
      <x:sz val="11"/>
      <x:color rgb="FF2563EB"/>
      <x:name val="Aptos"/>
    </x:font>
    <x:font>
      <x:sz val="11"/>
      <x:color rgb="FF667085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2233F"/>
      </x:patternFill>
    </x:fill>
    <x:fill>
      <x:patternFill patternType="solid">
        <x:fgColor rgb="FFE8EDF5"/>
      </x:patternFill>
    </x:fill>
    <x:fill>
      <x:patternFill patternType="solid">
        <x:fgColor rgb="FF0F766E"/>
      </x:patternFill>
    </x:fill>
    <x:fill>
      <x:patternFill patternType="solid">
        <x:fgColor rgb="FFEAF2FF"/>
      </x:patternFill>
    </x:fill>
    <x:fill>
      <x:patternFill patternType="solid">
        <x:fgColor rgb="FFF2F4F7"/>
      </x:patternFill>
    </x:fill>
    <x:fill>
      <x:patternFill patternType="solid">
        <x:fgColor rgb="FFFFF6D8"/>
      </x:patternFill>
    </x:fill>
  </x:fills>
  <x:borders count="1">
    <x:border/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20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10" fillId="4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wrapText="1"/>
    </x:xf>
    <x:xf numFmtId="0" fontId="11" fillId="7" borderId="0" xfId="0" applyNumberFormat="1" applyFont="1" applyFill="1" applyBorder="1" applyAlignment="1">
      <x:alignment wrapText="1"/>
    </x:xf>
    <x:xf numFmtId="0" fontId="12" fillId="5" borderId="0" xfId="0" applyNumberFormat="1" applyFont="1" applyFill="1" applyBorder="1" applyAlignment="1">
      <x:alignment wrapText="1"/>
    </x:xf>
    <x:xf numFmtId="200" fontId="12" fillId="5" borderId="0" xfId="0" applyNumberFormat="1" applyFont="1" applyFill="1" applyBorder="1" applyAlignment="1">
      <x:alignment wrapText="1"/>
    </x:xf>
    <x:xf numFmtId="0" fontId="13" fillId="6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9">
    <x:dxf>
      <x:font>
        <x:b/>
        <x:color rgb="FF166534"/>
      </x:font>
      <x:fill>
        <x:patternFill patternType="solid">
          <x:bgColor rgb="FFE8F5EE"/>
        </x:patternFill>
      </x:fill>
    </x:dxf>
    <x:dxf>
      <x:font>
        <x:b/>
        <x:color rgb="FF854D0E"/>
      </x:font>
      <x:fill>
        <x:patternFill patternType="solid">
          <x:bgColor rgb="FFFFF6D8"/>
        </x:patternFill>
      </x:fill>
    </x:dxf>
    <x:dxf>
      <x:font>
        <x:b/>
        <x:color rgb="FF166534"/>
      </x:font>
      <x:fill>
        <x:patternFill patternType="solid">
          <x:bgColor rgb="FFE8F5EE"/>
        </x:patternFill>
      </x:fill>
    </x:dxf>
    <x:dxf>
      <x:font>
        <x:b/>
        <x:color rgb="FF854D0E"/>
      </x:font>
      <x:fill>
        <x:patternFill patternType="solid">
          <x:bgColor rgb="FFFFF6D8"/>
        </x:patternFill>
      </x:fill>
    </x:dxf>
    <x:dxf>
      <x:font>
        <x:b/>
        <x:color rgb="FF166534"/>
      </x:font>
      <x:fill>
        <x:patternFill patternType="solid">
          <x:bgColor rgb="FFE8F5EE"/>
        </x:patternFill>
      </x:fill>
    </x:dxf>
    <x:dxf>
      <x:font>
        <x:b/>
        <x:color rgb="FF854D0E"/>
      </x:font>
      <x:fill>
        <x:patternFill patternType="solid">
          <x:bgColor rgb="FFFFF6D8"/>
        </x:patternFill>
      </x:fill>
    </x:dxf>
    <x:dxf>
      <x:font>
        <x:b/>
        <x:color rgb="FF166534"/>
      </x:font>
      <x:fill>
        <x:patternFill patternType="solid">
          <x:bgColor rgb="FFE8F5EE"/>
        </x:patternFill>
      </x:fill>
    </x:dxf>
    <x:dxf>
      <x:font>
        <x:color rgb="FF854D0E"/>
      </x:font>
      <x:fill>
        <x:patternFill patternType="solid">
          <x:bgColor rgb="FFFFF6D8"/>
        </x:patternFill>
      </x:fill>
    </x:dxf>
    <x:dxf>
      <x:font>
        <x:b/>
        <x:color rgb="FF991B1B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a89fd232c941ed" /><Relationship Type="http://schemas.openxmlformats.org/officeDocument/2006/relationships/theme" Target="/xl/theme/theme1.xml" Id="Re3c51fa60e5f4343" /><Relationship Type="http://schemas.openxmlformats.org/officeDocument/2006/relationships/sharedStrings" Target="/xl/sharedStrings.xml" Id="R6bd29ef4d137450d" /><Relationship Type="http://schemas.openxmlformats.org/officeDocument/2006/relationships/worksheet" Target="/xl/worksheets/sheet1.xml" Id="Re1e24fb3ab4a42e3" /><Relationship Type="http://schemas.openxmlformats.org/officeDocument/2006/relationships/worksheet" Target="/xl/worksheets/sheet2.xml" Id="R5990d23101b64f24" /><Relationship Type="http://schemas.openxmlformats.org/officeDocument/2006/relationships/worksheet" Target="/xl/worksheets/sheet3.xml" Id="R58ecf511e7664e76" /><Relationship Type="http://schemas.openxmlformats.org/officeDocument/2006/relationships/worksheet" Target="/xl/worksheets/sheet4.xml" Id="R58e6dc501d394467" /><Relationship Type="http://schemas.openxmlformats.org/officeDocument/2006/relationships/worksheet" Target="/xl/worksheets/sheet5.xml" Id="Re0f77e3fe6904fc5" /><Relationship Type="http://schemas.openxmlformats.org/officeDocument/2006/relationships/worksheet" Target="/xl/worksheets/sheet6.xml" Id="Rcb95e57e781f4bd3" /><Relationship Type="http://schemas.openxmlformats.org/officeDocument/2006/relationships/worksheet" Target="/xl/worksheets/sheet7.xml" Id="Rddff920a417444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31" hidden="0" customWidth="1"/>
    <x:col min="8" max="8" width="31" hidden="0" customWidth="1"/>
  </x:cols>
  <x:sheetData>
    <x:row r="1" ht="30" customHeight="1">
      <x:c r="A1" s="25" t="str">
        <x:v>Design-Partner Sourcing Cockpit</x:v>
      </x:c>
      <x:c r="B1" s="25" t="str">
        <x:v>Design-Partner Sourcing Cockpit</x:v>
      </x:c>
      <x:c r="C1" s="25" t="str">
        <x:v>Design-Partner Sourcing Cockpit</x:v>
      </x:c>
      <x:c r="D1" s="25" t="str">
        <x:v>Design-Partner Sourcing Cockpit</x:v>
      </x:c>
      <x:c r="E1" s="25" t="str">
        <x:v>Design-Partner Sourcing Cockpit</x:v>
      </x:c>
      <x:c r="F1" s="25" t="str">
        <x:v>Design-Partner Sourcing Cockpit</x:v>
      </x:c>
      <x:c r="G1" s="25" t="str">
        <x:v>Design-Partner Sourcing Cockpit</x:v>
      </x:c>
      <x:c r="H1" s="25" t="str">
        <x:v>Design-Partner Sourcing Cockpit</x:v>
      </x:c>
    </x:row>
    <x:row r="2" ht="34" customHeight="1">
      <x:c r="A2" s="26" t="str">
        <x:v>Aktueller Zustand ist absichtlich 'No Build': Account-Recherche ist keine Kontaktberechtigung und keine Kaufevidenz.</x:v>
      </x:c>
      <x:c r="B2" s="26" t="str">
        <x:v>Aktueller Zustand ist absichtlich 'No Build': Account-Recherche ist keine Kontaktberechtigung und keine Kaufevidenz.</x:v>
      </x:c>
      <x:c r="C2" s="26" t="str">
        <x:v>Aktueller Zustand ist absichtlich 'No Build': Account-Recherche ist keine Kontaktberechtigung und keine Kaufevidenz.</x:v>
      </x:c>
      <x:c r="D2" s="26" t="str">
        <x:v>Aktueller Zustand ist absichtlich 'No Build': Account-Recherche ist keine Kontaktberechtigung und keine Kaufevidenz.</x:v>
      </x:c>
      <x:c r="E2" s="26" t="str">
        <x:v>Aktueller Zustand ist absichtlich 'No Build': Account-Recherche ist keine Kontaktberechtigung und keine Kaufevidenz.</x:v>
      </x:c>
      <x:c r="F2" s="26" t="str">
        <x:v>Aktueller Zustand ist absichtlich 'No Build': Account-Recherche ist keine Kontaktberechtigung und keine Kaufevidenz.</x:v>
      </x:c>
      <x:c r="G2" s="26" t="str">
        <x:v>Aktueller Zustand ist absichtlich 'No Build': Account-Recherche ist keine Kontaktberechtigung und keine Kaufevidenz.</x:v>
      </x:c>
      <x:c r="H2" s="26" t="str">
        <x:v>Aktueller Zustand ist absichtlich 'No Build': Account-Recherche ist keine Kontaktberechtigung und keine Kaufevidenz.</x:v>
      </x:c>
    </x:row>
    <x:row r="3">
      <x:c r="A3" s="27"/>
      <x:c r="B3" s="27"/>
      <x:c r="C3" s="27"/>
      <x:c r="D3" s="27"/>
      <x:c r="E3" s="27"/>
      <x:c r="F3" s="27"/>
      <x:c r="G3" s="27"/>
      <x:c r="H3" s="27"/>
    </x:row>
    <x:row r="4" ht="38" customHeight="1">
      <x:c r="A4" s="28" t="str">
        <x:v>KPI</x:v>
      </x:c>
      <x:c r="B4" s="28" t="str">
        <x:v>Segment A</x:v>
      </x:c>
      <x:c r="C4" s="28" t="str">
        <x:v>Segment B</x:v>
      </x:c>
      <x:c r="D4" s="28" t="str">
        <x:v>Gesamt</x:v>
      </x:c>
      <x:c r="E4" s="28" t="str">
        <x:v>Gate</x:v>
      </x:c>
      <x:c r="F4" s="28" t="str">
        <x:v>Status</x:v>
      </x:c>
      <x:c r="G4" s="28" t="str">
        <x:v>Owner</x:v>
      </x:c>
      <x:c r="H4" s="28" t="str">
        <x:v>Hinweis</x:v>
      </x:c>
    </x:row>
    <x:row r="5">
      <x:c r="A5" s="29" t="str">
        <x:v>Account-Hypothesen</x:v>
      </x:c>
      <x:c r="B5" s="29" t="n">
        <x:f>COUNTIF('Accounts'!A5:A34,"A")</x:f>
        <x:v>15</x:v>
      </x:c>
      <x:c r="C5" s="29" t="n">
        <x:f>COUNTIF('Accounts'!A5:A34,"B")</x:f>
        <x:v>15</x:v>
      </x:c>
      <x:c r="D5" s="29" t="n">
        <x:f>B5+C5</x:f>
        <x:v>30</x:v>
      </x:c>
      <x:c r="E5" s="29" t="n">
        <x:v>30</x:v>
      </x:c>
      <x:c r="F5" s="29" t="str">
        <x:f>IF(D5&gt;=E5,"PASS","OPEN")</x:f>
        <x:v>PASS</x:v>
      </x:c>
      <x:c r="G5" s="29"/>
      <x:c r="H5" s="29" t="str">
        <x:v>Recherchebestand</x:v>
      </x:c>
    </x:row>
    <x:row r="6">
      <x:c r="A6" s="29" t="str">
        <x:v>P1 Accounts</x:v>
      </x:c>
      <x:c r="B6" s="29" t="n">
        <x:f>COUNTIFS('Accounts'!A5:A34,"A",'Accounts'!B5:B34,"P1")</x:f>
        <x:v>7</x:v>
      </x:c>
      <x:c r="C6" s="29" t="n">
        <x:f>COUNTIFS('Accounts'!A5:A34,"B",'Accounts'!B5:B34,"P1")</x:f>
        <x:v>7</x:v>
      </x:c>
      <x:c r="D6" s="29" t="n">
        <x:f>B6+C6</x:f>
        <x:v>14</x:v>
      </x:c>
      <x:c r="E6" s="29" t="n">
        <x:v>14</x:v>
      </x:c>
      <x:c r="F6" s="29" t="str">
        <x:f>IF(D6&gt;=E6,"PASS","OPEN")</x:f>
        <x:v>PASS</x:v>
      </x:c>
      <x:c r="G6" s="29"/>
      <x:c r="H6" s="29" t="str">
        <x:v>Sofort qualifizieren</x:v>
      </x:c>
    </x:row>
    <x:row r="7">
      <x:c r="A7" s="29" t="str">
        <x:v>Permission Routes</x:v>
      </x:c>
      <x:c r="B7" s="29" t="n">
        <x:f>'4-Wochen-Funnel'!C6</x:f>
        <x:v>0</x:v>
      </x:c>
      <x:c r="C7" s="29" t="n">
        <x:f>'4-Wochen-Funnel'!F6</x:f>
        <x:v>0</x:v>
      </x:c>
      <x:c r="D7" s="29" t="n">
        <x:f>B7+C7</x:f>
        <x:v>0</x:v>
      </x:c>
      <x:c r="E7" s="29" t="n">
        <x:v>30</x:v>
      </x:c>
      <x:c r="F7" s="29" t="str">
        <x:f>IF(D7&gt;=E7,"PASS","OPEN")</x:f>
        <x:v>OPEN</x:v>
      </x:c>
      <x:c r="G7" s="29"/>
      <x:c r="H7" s="29" t="str">
        <x:v>Intro/Opt-in dokumentiert</x:v>
      </x:c>
    </x:row>
    <x:row r="8">
      <x:c r="A8" s="29" t="str">
        <x:v>Qualified Discovery</x:v>
      </x:c>
      <x:c r="B8" s="29" t="n">
        <x:f>'4-Wochen-Funnel'!C8</x:f>
        <x:v>0</x:v>
      </x:c>
      <x:c r="C8" s="29" t="n">
        <x:f>'4-Wochen-Funnel'!F8</x:f>
        <x:v>0</x:v>
      </x:c>
      <x:c r="D8" s="29" t="n">
        <x:f>B8+C8</x:f>
        <x:v>0</x:v>
      </x:c>
      <x:c r="E8" s="29" t="n">
        <x:v>20</x:v>
      </x:c>
      <x:c r="F8" s="29" t="str">
        <x:f>IF(D8&gt;=E8,"PASS","OPEN")</x:f>
        <x:v>OPEN</x:v>
      </x:c>
      <x:c r="G8" s="29"/>
      <x:c r="H8" s="29" t="str">
        <x:v>10 je Segment</x:v>
      </x:c>
    </x:row>
    <x:row r="9">
      <x:c r="A9" s="29" t="str">
        <x:v>Evidence Collected</x:v>
      </x:c>
      <x:c r="B9" s="29" t="n">
        <x:f>COUNTIFS('Outreach Pipeline'!B5:B124,"A",'Outreach Pipeline'!S5:S124,"&gt;=4")</x:f>
        <x:v>0</x:v>
      </x:c>
      <x:c r="C9" s="29" t="n">
        <x:f>COUNTIFS('Outreach Pipeline'!B5:B124,"B",'Outreach Pipeline'!S5:S124,"&gt;=4")</x:f>
        <x:v>0</x:v>
      </x:c>
      <x:c r="D9" s="29" t="n">
        <x:f>B9+C9</x:f>
        <x:v>0</x:v>
      </x:c>
      <x:c r="E9" s="29" t="n">
        <x:v>20</x:v>
      </x:c>
      <x:c r="F9" s="29" t="str">
        <x:f>IF(D9&gt;=E9,"PASS","OPEN")</x:f>
        <x:v>OPEN</x:v>
      </x:c>
      <x:c r="G9" s="29"/>
      <x:c r="H9" s="29" t="str">
        <x:v>Problem-Evidenz, kein Interesse</x:v>
      </x:c>
    </x:row>
    <x:row r="10">
      <x:c r="A10" s="29" t="str">
        <x:v>Pilot Offered</x:v>
      </x:c>
      <x:c r="B10" s="29" t="n">
        <x:f>'4-Wochen-Funnel'!C13</x:f>
        <x:v>0</x:v>
      </x:c>
      <x:c r="C10" s="29" t="n">
        <x:f>'4-Wochen-Funnel'!F13</x:f>
        <x:v>0</x:v>
      </x:c>
      <x:c r="D10" s="29" t="n">
        <x:f>B10+C10</x:f>
        <x:v>0</x:v>
      </x:c>
      <x:c r="E10" s="29" t="n">
        <x:v>4</x:v>
      </x:c>
      <x:c r="F10" s="29" t="str">
        <x:f>IF(D10&gt;=E10,"PASS","OPEN")</x:f>
        <x:v>OPEN</x:v>
      </x:c>
      <x:c r="G10" s="29"/>
      <x:c r="H10" s="29" t="str">
        <x:v>2 je Segment</x:v>
      </x:c>
    </x:row>
    <x:row r="11">
      <x:c r="A11" s="29" t="str">
        <x:v>Paid Pilot</x:v>
      </x:c>
      <x:c r="B11" s="29" t="n">
        <x:f>'4-Wochen-Funnel'!C14</x:f>
        <x:v>0</x:v>
      </x:c>
      <x:c r="C11" s="29" t="n">
        <x:f>'4-Wochen-Funnel'!F14</x:f>
        <x:v>0</x:v>
      </x:c>
      <x:c r="D11" s="29" t="n">
        <x:f>B11+C11</x:f>
        <x:v>0</x:v>
      </x:c>
      <x:c r="E11" s="29" t="n">
        <x:v>4</x:v>
      </x:c>
      <x:c r="F11" s="29" t="str">
        <x:f>IF(D11&gt;=E11,"PASS","OPEN")</x:f>
        <x:v>OPEN</x:v>
      </x:c>
      <x:c r="G11" s="29"/>
      <x:c r="H11" s="29" t="str">
        <x:v>2 je Segment, 50 % bezahlt</x:v>
      </x:c>
    </x:row>
    <x:row r="12">
      <x:c r="A12" s="29"/>
      <x:c r="B12" s="29"/>
      <x:c r="C12" s="29"/>
      <x:c r="D12" s="29"/>
      <x:c r="E12" s="29"/>
      <x:c r="F12" s="29"/>
      <x:c r="G12" s="29"/>
      <x:c r="H12" s="29"/>
    </x:row>
    <x:row r="13">
      <x:c r="A13" s="29"/>
      <x:c r="B13" s="29"/>
      <x:c r="C13" s="29"/>
      <x:c r="D13" s="29"/>
      <x:c r="E13" s="29"/>
      <x:c r="F13" s="29"/>
      <x:c r="G13" s="29"/>
      <x:c r="H13" s="29"/>
    </x:row>
    <x:row r="14">
      <x:c r="A14" s="30" t="str">
        <x:v>Rechtliche Leitplanke: Kalte E-Mail/DM ist deaktiviert. Account-Recherche begründet keine Kontaktberechtigung. Jeder Kanal braucht Permission Source und Legal Review.</x:v>
      </x:c>
      <x:c r="B14" s="30"/>
      <x:c r="C14" s="30"/>
      <x:c r="D14" s="30"/>
      <x:c r="E14" s="30"/>
      <x:c r="F14" s="30"/>
      <x:c r="G14" s="30"/>
      <x:c r="H14" s="30"/>
    </x:row>
    <x:row r="15">
      <x:c r="A15" s="29"/>
      <x:c r="B15" s="29"/>
      <x:c r="C15" s="29"/>
      <x:c r="D15" s="29"/>
      <x:c r="E15" s="29"/>
      <x:c r="F15" s="29"/>
      <x:c r="G15" s="29"/>
      <x:c r="H15" s="29"/>
    </x:row>
    <x:row r="16">
      <x:c r="A16" s="29"/>
      <x:c r="B16" s="29"/>
      <x:c r="C16" s="29"/>
      <x:c r="D16" s="29"/>
      <x:c r="E16" s="29"/>
      <x:c r="F16" s="29"/>
      <x:c r="G16" s="29"/>
      <x:c r="H16" s="29"/>
    </x:row>
    <x:row r="17">
      <x:c r="A17" s="28" t="str">
        <x:v>Segment</x:v>
      </x:c>
      <x:c r="B17" s="28" t="str">
        <x:v>P1 Welle</x:v>
      </x:c>
      <x:c r="C17" s="28" t="str">
        <x:v>Primärer Buyer</x:v>
      </x:c>
      <x:c r="D17" s="28" t="str">
        <x:v>Erster Ask</x:v>
      </x:c>
      <x:c r="E17" s="28" t="str">
        <x:v>Nicht pitchen</x:v>
      </x:c>
      <x:c r="F17" s="28" t="str">
        <x:v>Hauptrisiko</x:v>
      </x:c>
      <x:c r="G17" s="28" t="str">
        <x:v>Permission Path</x:v>
      </x:c>
      <x:c r="H17" s="28" t="str">
        <x:v>Entscheidung</x:v>
      </x:c>
    </x:row>
    <x:row r="18" ht="72" customHeight="1">
      <x:c r="A18" s="29" t="str">
        <x:v>A</x:v>
      </x:c>
      <x:c r="B18" s="29" t="str">
        <x:v>MTA; LUBING; NordCap; CTA; Krüger; Hertek; KMLS</x:v>
      </x:c>
      <x:c r="C18" s="29" t="str">
        <x:v>Service-/Operationsleitung</x:v>
      </x:c>
      <x:c r="D18" s="29" t="str">
        <x:v>Realen Fall aus letzten 30 Tagen zeigen</x:v>
      </x:c>
      <x:c r="E18" s="29" t="str">
        <x:v>Inbox, AI Agent oder FSM-Ersatz</x:v>
      </x:c>
      <x:c r="F18" s="29" t="str">
        <x:v>Vertikales SaaS / Integrationslast</x:v>
      </x:c>
      <x:c r="G18" s="29" t="str">
        <x:v>Warm intro, Fachpartner, Verbände, Panel</x:v>
      </x:c>
      <x:c r="H18" s="29" t="str">
        <x:v>Nur Langläufer + Übergaben zählen</x:v>
      </x:c>
    </x:row>
    <x:row r="19" ht="72" customHeight="1">
      <x:c r="A19" s="29" t="str">
        <x:v>B</x:v>
      </x:c>
      <x:c r="B19" s="29" t="str">
        <x:v>Meister; Birdie; Storyblok; Sastrify; Leapsome; Moss; Deliverect</x:v>
      </x:c>
      <x:c r="C19" s="29" t="str">
        <x:v>Customer Ops / CX + CTO/DPO</x:v>
      </x:c>
      <x:c r="D19" s="29" t="str">
        <x:v>Human-AI-Handoff mit Schaden zeigen</x:v>
      </x:c>
      <x:c r="E19" s="29" t="str">
        <x:v>Deflection oder Governance abstrakt</x:v>
      </x:c>
      <x:c r="F19" s="29" t="str">
        <x:v>Bestehender Suite-Anbieter / Enterprise Review</x:v>
      </x:c>
      <x:c r="G19" s="29" t="str">
        <x:v>Warm intro, AI/CX Partner, Community, Panel</x:v>
      </x:c>
      <x:c r="H19" s="29" t="str">
        <x:v>Operativer Outcome muss Governance tragen</x:v>
      </x:c>
    </x:row>
  </x:sheetData>
  <x:mergeCells>
    <x:mergeCell ref="A1:H1"/>
    <x:mergeCell ref="A2:H2"/>
    <x:mergeCell ref="A14:H14"/>
  </x:mergeCells>
  <x:conditionalFormatting sqref="F5:F11">
    <x:cfRule type="containsText" dxfId="0" priority="1" operator="containsText" text="PASS"/>
    <x:cfRule type="containsText" dxfId="1" priority="2" operator="containsText" text="OPEN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24" hidden="0" customWidth="1"/>
    <x:col min="4" max="4" width="18" hidden="0" customWidth="1"/>
    <x:col min="5" max="5" width="18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38" hidden="0" customWidth="1"/>
    <x:col min="13" max="13" width="38" hidden="0" customWidth="1"/>
    <x:col min="14" max="14" width="17" hidden="0" customWidth="1"/>
    <x:col min="15" max="15" width="17" hidden="0" customWidth="1"/>
    <x:col min="16" max="16" width="17" hidden="0" customWidth="1"/>
    <x:col min="17" max="17" width="22" hidden="0" customWidth="1"/>
    <x:col min="18" max="18" width="22" hidden="0" customWidth="1"/>
    <x:col min="19" max="19" width="22" hidden="0" customWidth="1"/>
    <x:col min="20" max="20" width="15" hidden="0" customWidth="1"/>
  </x:cols>
  <x:sheetData>
    <x:row r="1" ht="30" customHeight="1">
      <x:c r="A1" s="25" t="str">
        <x:v>Design-Partner Account Longlist</x:v>
      </x:c>
      <x:c r="B1" s="25" t="str">
        <x:v>Design-Partner Account Longlist</x:v>
      </x:c>
      <x:c r="C1" s="25" t="str">
        <x:v>Design-Partner Account Longlist</x:v>
      </x:c>
      <x:c r="D1" s="25" t="str">
        <x:v>Design-Partner Account Longlist</x:v>
      </x:c>
      <x:c r="E1" s="25" t="str">
        <x:v>Design-Partner Account Longlist</x:v>
      </x:c>
      <x:c r="F1" s="25" t="str">
        <x:v>Design-Partner Account Longlist</x:v>
      </x:c>
      <x:c r="G1" s="25" t="str">
        <x:v>Design-Partner Account Longlist</x:v>
      </x:c>
      <x:c r="H1" s="25" t="str">
        <x:v>Design-Partner Account Longlist</x:v>
      </x:c>
      <x:c r="I1" s="25" t="str">
        <x:v>Design-Partner Account Longlist</x:v>
      </x:c>
      <x:c r="J1" s="25" t="str">
        <x:v>Design-Partner Account Longlist</x:v>
      </x:c>
      <x:c r="K1" s="25" t="str">
        <x:v>Design-Partner Account Longlist</x:v>
      </x:c>
      <x:c r="L1" s="25" t="str">
        <x:v>Design-Partner Account Longlist</x:v>
      </x:c>
      <x:c r="M1" s="25" t="str">
        <x:v>Design-Partner Account Longlist</x:v>
      </x:c>
      <x:c r="N1" s="25" t="str">
        <x:v>Design-Partner Account Longlist</x:v>
      </x:c>
      <x:c r="O1" s="25" t="str">
        <x:v>Design-Partner Account Longlist</x:v>
      </x:c>
      <x:c r="P1" s="25" t="str">
        <x:v>Design-Partner Account Longlist</x:v>
      </x:c>
      <x:c r="Q1" s="25" t="str">
        <x:v>Design-Partner Account Longlist</x:v>
      </x:c>
      <x:c r="R1" s="25" t="str">
        <x:v>Design-Partner Account Longlist</x:v>
      </x:c>
      <x:c r="S1" s="25" t="str">
        <x:v>Design-Partner Account Longlist</x:v>
      </x:c>
      <x:c r="T1" s="25" t="str">
        <x:v>Design-Partner Account Longlist</x:v>
      </x:c>
    </x:row>
    <x:row r="2" ht="34" customHeight="1">
      <x:c r="A2" s="26" t="str">
        <x:v>30 quellenbasierte Account-Hypothesen. Fakten und Pilot-Hypothesen sind getrennt; personenbezogene Daten werden hier nicht gespeichert.</x:v>
      </x:c>
      <x:c r="B2" s="26" t="str">
        <x:v>30 quellenbasierte Account-Hypothesen. Fakten und Pilot-Hypothesen sind getrennt; personenbezogene Daten werden hier nicht gespeichert.</x:v>
      </x:c>
      <x:c r="C2" s="26" t="str">
        <x:v>30 quellenbasierte Account-Hypothesen. Fakten und Pilot-Hypothesen sind getrennt; personenbezogene Daten werden hier nicht gespeichert.</x:v>
      </x:c>
      <x:c r="D2" s="26" t="str">
        <x:v>30 quellenbasierte Account-Hypothesen. Fakten und Pilot-Hypothesen sind getrennt; personenbezogene Daten werden hier nicht gespeichert.</x:v>
      </x:c>
      <x:c r="E2" s="26" t="str">
        <x:v>30 quellenbasierte Account-Hypothesen. Fakten und Pilot-Hypothesen sind getrennt; personenbezogene Daten werden hier nicht gespeichert.</x:v>
      </x:c>
      <x:c r="F2" s="26" t="str">
        <x:v>30 quellenbasierte Account-Hypothesen. Fakten und Pilot-Hypothesen sind getrennt; personenbezogene Daten werden hier nicht gespeichert.</x:v>
      </x:c>
      <x:c r="G2" s="26" t="str">
        <x:v>30 quellenbasierte Account-Hypothesen. Fakten und Pilot-Hypothesen sind getrennt; personenbezogene Daten werden hier nicht gespeichert.</x:v>
      </x:c>
      <x:c r="H2" s="26" t="str">
        <x:v>30 quellenbasierte Account-Hypothesen. Fakten und Pilot-Hypothesen sind getrennt; personenbezogene Daten werden hier nicht gespeichert.</x:v>
      </x:c>
      <x:c r="I2" s="26" t="str">
        <x:v>30 quellenbasierte Account-Hypothesen. Fakten und Pilot-Hypothesen sind getrennt; personenbezogene Daten werden hier nicht gespeichert.</x:v>
      </x:c>
      <x:c r="J2" s="26" t="str">
        <x:v>30 quellenbasierte Account-Hypothesen. Fakten und Pilot-Hypothesen sind getrennt; personenbezogene Daten werden hier nicht gespeichert.</x:v>
      </x:c>
      <x:c r="K2" s="26" t="str">
        <x:v>30 quellenbasierte Account-Hypothesen. Fakten und Pilot-Hypothesen sind getrennt; personenbezogene Daten werden hier nicht gespeichert.</x:v>
      </x:c>
      <x:c r="L2" s="26" t="str">
        <x:v>30 quellenbasierte Account-Hypothesen. Fakten und Pilot-Hypothesen sind getrennt; personenbezogene Daten werden hier nicht gespeichert.</x:v>
      </x:c>
      <x:c r="M2" s="26" t="str">
        <x:v>30 quellenbasierte Account-Hypothesen. Fakten und Pilot-Hypothesen sind getrennt; personenbezogene Daten werden hier nicht gespeichert.</x:v>
      </x:c>
      <x:c r="N2" s="26" t="str">
        <x:v>30 quellenbasierte Account-Hypothesen. Fakten und Pilot-Hypothesen sind getrennt; personenbezogene Daten werden hier nicht gespeichert.</x:v>
      </x:c>
      <x:c r="O2" s="26" t="str">
        <x:v>30 quellenbasierte Account-Hypothesen. Fakten und Pilot-Hypothesen sind getrennt; personenbezogene Daten werden hier nicht gespeichert.</x:v>
      </x:c>
      <x:c r="P2" s="26" t="str">
        <x:v>30 quellenbasierte Account-Hypothesen. Fakten und Pilot-Hypothesen sind getrennt; personenbezogene Daten werden hier nicht gespeichert.</x:v>
      </x:c>
      <x:c r="Q2" s="26" t="str">
        <x:v>30 quellenbasierte Account-Hypothesen. Fakten und Pilot-Hypothesen sind getrennt; personenbezogene Daten werden hier nicht gespeichert.</x:v>
      </x:c>
      <x:c r="R2" s="26" t="str">
        <x:v>30 quellenbasierte Account-Hypothesen. Fakten und Pilot-Hypothesen sind getrennt; personenbezogene Daten werden hier nicht gespeichert.</x:v>
      </x:c>
      <x:c r="S2" s="26" t="str">
        <x:v>30 quellenbasierte Account-Hypothesen. Fakten und Pilot-Hypothesen sind getrennt; personenbezogene Daten werden hier nicht gespeichert.</x:v>
      </x:c>
      <x:c r="T2" s="26" t="str">
        <x:v>30 quellenbasierte Account-Hypothesen. Fakten und Pilot-Hypothesen sind getrennt; personenbezogene Daten werden hier nicht gespeichert.</x:v>
      </x:c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</x:row>
    <x:row r="4" ht="38" customHeight="1">
      <x:c r="A4" s="28" t="str">
        <x:v>Segment</x:v>
      </x:c>
      <x:c r="B4" s="28" t="str">
        <x:v>Prio</x:v>
      </x:c>
      <x:c r="C4" s="28" t="str">
        <x:v>Account</x:v>
      </x:c>
      <x:c r="D4" s="28" t="str">
        <x:v>Land</x:v>
      </x:c>
      <x:c r="E4" s="28" t="str">
        <x:v>Subsegment</x:v>
      </x:c>
      <x:c r="F4" s="28" t="str">
        <x:v>Belegte Komplexität</x:v>
      </x:c>
      <x:c r="G4" s="28" t="str">
        <x:v>Belegtes Kanal-/AI-Signal</x:v>
      </x:c>
      <x:c r="H4" s="28" t="str">
        <x:v>Pilot-Hypothese</x:v>
      </x:c>
      <x:c r="I4" s="28" t="str">
        <x:v>Buyer-Rollen</x:v>
      </x:c>
      <x:c r="J4" s="28" t="str">
        <x:v>Einstiegswinkel</x:v>
      </x:c>
      <x:c r="K4" s="28" t="str">
        <x:v>Risiko</x:v>
      </x:c>
      <x:c r="L4" s="28" t="str">
        <x:v>Quelle 1</x:v>
      </x:c>
      <x:c r="M4" s="28" t="str">
        <x:v>Quelle 2</x:v>
      </x:c>
      <x:c r="N4" s="28" t="str">
        <x:v>Fit-Status</x:v>
      </x:c>
      <x:c r="O4" s="28" t="str">
        <x:v>Permission Route</x:v>
      </x:c>
      <x:c r="P4" s="28" t="str">
        <x:v>Legal Gate</x:v>
      </x:c>
      <x:c r="Q4" s="28" t="str">
        <x:v>Owner</x:v>
      </x:c>
      <x:c r="R4" s="28" t="str">
        <x:v>Nächster Schritt</x:v>
      </x:c>
      <x:c r="S4" s="28" t="str">
        <x:v>Nächstes Datum</x:v>
      </x:c>
      <x:c r="T4" s="28" t="str">
        <x:v>Validation Score</x:v>
      </x:c>
    </x:row>
    <x:row r="5" ht="72" customHeight="1">
      <x:c r="A5" s="29" t="str">
        <x:v>A</x:v>
      </x:c>
      <x:c r="B5" s="29" t="str">
        <x:v>P1</x:v>
      </x:c>
      <x:c r="C5" s="29" t="str">
        <x:v>MTA Deutschland</x:v>
      </x:c>
      <x:c r="D5" s="29" t="str">
        <x:v>Deutschland</x:v>
      </x:c>
      <x:c r="E5" s="29" t="str">
        <x:v>Prozesskühlung/Klimatechnik</x:v>
      </x:c>
      <x:c r="F5" s="29" t="str">
        <x:v>100 Personen, 2 Standorte, bundesweiter Außendienst, Werkstatt und Serviceabwicklung</x:v>
      </x:c>
      <x:c r="G5" s="29" t="str">
        <x:v>Hotline, E-Mail, Formular, Fernüberwachung/-wartung</x:v>
      </x:c>
      <x:c r="H5" s="29" t="str">
        <x:v>Störung → Triage → Region/Techniker → Teile/Termin → Einsatz → Abschluss</x:v>
      </x:c>
      <x:c r="I5" s="29" t="str">
        <x:v>Serviceleitung; Kundendienst; EDV/Organisation; Geschäftsführung</x:v>
      </x:c>
      <x:c r="J5" s="29" t="str">
        <x:v>Kontext vom Störungsanruf bis Einsatz, ohne ERP/FSM zu ersetzen</x:v>
      </x:c>
      <x:c r="K5" s="29" t="str">
        <x:v>Konzern-IT und vorhandenes FSM können Tempo/Nutzen begrenzen</x:v>
      </x:c>
      <x:c r="L5" s="29" t="str">
        <x:v>https://www.mta.de/unternehmen/mta-deutschland/</x:v>
      </x:c>
      <x:c r="M5" s="29" t="str">
        <x:v>https://www.mta.de/unternehmen/standorte/</x:v>
      </x:c>
      <x:c r="N5" s="31"/>
      <x:c r="O5" s="31"/>
      <x:c r="P5" s="31"/>
      <x:c r="Q5" s="31"/>
      <x:c r="R5" s="31"/>
      <x:c r="S5" s="32"/>
      <x:c r="T5" s="31"/>
    </x:row>
    <x:row r="6" ht="72" customHeight="1">
      <x:c r="A6" s="29" t="str">
        <x:v>A</x:v>
      </x:c>
      <x:c r="B6" s="29" t="str">
        <x:v>P1</x:v>
      </x:c>
      <x:c r="C6" s="29" t="str">
        <x:v>LUBING</x:v>
      </x:c>
      <x:c r="D6" s="29" t="str">
        <x:v>Deutschland</x:v>
      </x:c>
      <x:c r="E6" s="29" t="str">
        <x:v>Agrartechnik/Anlagenservice</x:v>
      </x:c>
      <x:c r="F6" s="29" t="str">
        <x:v>&gt;250 Mitarbeitende; Tochterfirmen und internationales Partnernetz</x:v>
      </x:c>
      <x:c r="G6" s="29" t="str">
        <x:v>Kundenservice per E-Mail, Telefon und WhatsApp; Fotos/Dokumente im Chat</x:v>
      </x:c>
      <x:c r="H6" s="29" t="str">
        <x:v>Störungsfoto → Support → Team/Partner → Teile/Dokumente → Rückmeldung</x:v>
      </x:c>
      <x:c r="I6" s="29" t="str">
        <x:v>Kundenservice; After Sales; IT; Produktbereich; Geschäftsführung</x:v>
      </x:c>
      <x:c r="J6" s="29" t="str">
        <x:v>WhatsApp mit Auftrag, Anlage, Partner und Commitment verbinden</x:v>
      </x:c>
      <x:c r="K6" s="29" t="str">
        <x:v>Partnernetz, Datenhoheit und saisonale Nutzung</x:v>
      </x:c>
      <x:c r="L6" s="29" t="str">
        <x:v>https://www.lubing.de/unternehmen/</x:v>
      </x:c>
      <x:c r="M6" s="29" t="str">
        <x:v>https://www.lubing-greentec.de/kundenservice/</x:v>
      </x:c>
      <x:c r="N6" s="31"/>
      <x:c r="O6" s="31"/>
      <x:c r="P6" s="31"/>
      <x:c r="Q6" s="31"/>
      <x:c r="R6" s="31"/>
      <x:c r="S6" s="32"/>
      <x:c r="T6" s="31"/>
    </x:row>
    <x:row r="7" ht="72" customHeight="1">
      <x:c r="A7" s="29" t="str">
        <x:v>A</x:v>
      </x:c>
      <x:c r="B7" s="29" t="str">
        <x:v>P1</x:v>
      </x:c>
      <x:c r="C7" s="29" t="str">
        <x:v>NordCap</x:v>
      </x:c>
      <x:c r="D7" s="29" t="str">
        <x:v>Deutschland</x:v>
      </x:c>
      <x:c r="E7" s="29" t="str">
        <x:v>Gastro-/Kühltechnik</x:v>
      </x:c>
      <x:c r="F7" s="29" t="str">
        <x:v>110–130 Mitarbeitende, 5 Standorte, 16-köpfiges Serviceteam</x:v>
      </x:c>
      <x:c r="G7" s="29" t="str">
        <x:v>Telefon, Formular, Rückruf, Product World, bundesweiter After Sales</x:v>
      </x:c>
      <x:c r="H7" s="29" t="str">
        <x:v>Geräteproblem → Service → Hersteller/Partner → Werkstatt/Außendienst → Abschluss</x:v>
      </x:c>
      <x:c r="I7" s="29" t="str">
        <x:v>Serviceleitung; IT/Daten; Geschäftsführung; Digitalisierung</x:v>
      </x:c>
      <x:c r="J7" s="29" t="str">
        <x:v>Ein Fall über Kunde, Händler, Hersteller und Servicepartner</x:v>
      </x:c>
      <x:c r="K7" s="29" t="str">
        <x:v>Externe Partnerkommunikation und fehlender WhatsApp-Beleg</x:v>
      </x:c>
      <x:c r="L7" s="29" t="str">
        <x:v>https://www.nordcap.de/ueber-uns/unternehmen/</x:v>
      </x:c>
      <x:c r="M7" s="29" t="str">
        <x:v>https://blog.nordcap.de/nordcap-product-world-die-ideale-kombination-aus-onlinekatalog-und-persoenlicher-unterstuetzung/</x:v>
      </x:c>
      <x:c r="N7" s="31"/>
      <x:c r="O7" s="31"/>
      <x:c r="P7" s="31"/>
      <x:c r="Q7" s="31"/>
      <x:c r="R7" s="31"/>
      <x:c r="S7" s="32"/>
      <x:c r="T7" s="31"/>
    </x:row>
    <x:row r="8" ht="72" customHeight="1">
      <x:c r="A8" s="29" t="str">
        <x:v>A</x:v>
      </x:c>
      <x:c r="B8" s="29" t="str">
        <x:v>P1</x:v>
      </x:c>
      <x:c r="C8" s="29" t="str">
        <x:v>CTA</x:v>
      </x:c>
      <x:c r="D8" s="29" t="str">
        <x:v>Schweiz</x:v>
      </x:c>
      <x:c r="E8" s="29" t="str">
        <x:v>Wärmepumpen/Kälte/Klima</x:v>
      </x:c>
      <x:c r="F8" s="29" t="str">
        <x:v>&gt;300 Mitarbeitende; Servicetechniker schweizweit 24/365</x:v>
      </x:c>
      <x:c r="G8" s="29" t="str">
        <x:v>Telefon und Webformular; klar veröffentlichter Störungsablauf</x:v>
      </x:c>
      <x:c r="H8" s="29" t="str">
        <x:v>Störung → Rückkontakt → Disposition → Behebung → Abschluss</x:v>
      </x:c>
      <x:c r="I8" s="29" t="str">
        <x:v>Serviceleitung; COO; Disposition; IT; CX</x:v>
      </x:c>
      <x:c r="J8" s="29" t="str">
        <x:v>Schichtwechsel, Rückrufversprechen und Abschluss durchgängig machen</x:v>
      </x:c>
      <x:c r="K8" s="29" t="str">
        <x:v>Vorhandenes ERP/FSM; Schweizer Hosting/Datenschutz</x:v>
      </x:c>
      <x:c r="L8" s="29" t="str">
        <x:v>https://cta.ch/ueber-uns</x:v>
      </x:c>
      <x:c r="M8" s="29" t="str">
        <x:v>https://cta.ch/stoerung</x:v>
      </x:c>
      <x:c r="N8" s="31"/>
      <x:c r="O8" s="31"/>
      <x:c r="P8" s="31"/>
      <x:c r="Q8" s="31"/>
      <x:c r="R8" s="31"/>
      <x:c r="S8" s="32"/>
      <x:c r="T8" s="31"/>
    </x:row>
    <x:row r="9" ht="72" customHeight="1">
      <x:c r="A9" s="29" t="str">
        <x:v>A</x:v>
      </x:c>
      <x:c r="B9" s="29" t="str">
        <x:v>P1</x:v>
      </x:c>
      <x:c r="C9" s="29" t="str">
        <x:v>Krüger + Co.</x:v>
      </x:c>
      <x:c r="D9" s="29" t="str">
        <x:v>Schweiz</x:v>
      </x:c>
      <x:c r="E9" s="29" t="str">
        <x:v>Schadensanierung/mobile Klima</x:v>
      </x:c>
      <x:c r="F9" s="29" t="str">
        <x:v>&gt;280 Mitarbeitende, 21 Standorte, 24/7-Pikettdienst</x:v>
      </x:c>
      <x:c r="G9" s="29" t="str">
        <x:v>Zentraler Notruf und Notfall-Webformular</x:v>
      </x:c>
      <x:c r="H9" s="29" t="str">
        <x:v>Schaden → regionale Zuteilung → Installation → mehrtägige Phase → Abholung/Abrechnung</x:v>
      </x:c>
      <x:c r="I9" s="29" t="str">
        <x:v>Service/Pikett; COO; Niederlassungen; IT; Schadenmanagement</x:v>
      </x:c>
      <x:c r="J9" s="29" t="str">
        <x:v>Langläufer vom Notruf bis Versicherung und Geräteabholung</x:v>
      </x:c>
      <x:c r="K9" s="29" t="str">
        <x:v>Versicherungen, Branchensoftware, kein WhatsApp-Beleg</x:v>
      </x:c>
      <x:c r="L9" s="29" t="str">
        <x:v>https://www.krueger.ch/wp-content/uploads/2309_KRUEGER_Imagebroschuere_A4_DE_low.pdf</x:v>
      </x:c>
      <x:c r="M9" s="29" t="str">
        <x:v>https://www.krueger.ch/notheizung/</x:v>
      </x:c>
      <x:c r="N9" s="31"/>
      <x:c r="O9" s="31"/>
      <x:c r="P9" s="31"/>
      <x:c r="Q9" s="31"/>
      <x:c r="R9" s="31"/>
      <x:c r="S9" s="32"/>
      <x:c r="T9" s="31"/>
    </x:row>
    <x:row r="10" ht="72" customHeight="1">
      <x:c r="A10" s="29" t="str">
        <x:v>A</x:v>
      </x:c>
      <x:c r="B10" s="29" t="str">
        <x:v>P1</x:v>
      </x:c>
      <x:c r="C10" s="29" t="str">
        <x:v>Hertek</x:v>
      </x:c>
      <x:c r="D10" s="29" t="str">
        <x:v>Deutschland</x:v>
      </x:c>
      <x:c r="E10" s="29" t="str">
        <x:v>Brandmelde-/Sicherheitstechnik</x:v>
      </x:c>
      <x:c r="F10" s="29" t="str">
        <x:v>Deutschlandweiter Außendienst; Support und Technik bereichsübergreifend</x:v>
      </x:c>
      <x:c r="G10" s="29" t="str">
        <x:v>WhatsApp-Hotline mit Fotos/Dokumenten plus Connect-Anlagenstatus</x:v>
      </x:c>
      <x:c r="H10" s="29" t="str">
        <x:v>Anlagenfehler → WhatsApp/Telefon → Support/Connect → Partner → prüfbarer Abschluss</x:v>
      </x:c>
      <x:c r="I10" s="29" t="str">
        <x:v>Business Unit; technischer Support; Connect; Service; QM</x:v>
      </x:c>
      <x:c r="J10" s="29" t="str">
        <x:v>WhatsApp, Hotline, DMS und Anlagenereignis als auditierbarer Fall</x:v>
      </x:c>
      <x:c r="K10" s="29" t="str">
        <x:v>Eigenes Connect-Produkt, sicherheitskritische Daten, Größe unklar</x:v>
      </x:c>
      <x:c r="L10" s="29" t="str">
        <x:v>https://www.hertek.de/neues/technischer-support-per-whatsapp</x:v>
      </x:c>
      <x:c r="M10" s="29" t="str">
        <x:v>https://www.hertek.de/connect-control</x:v>
      </x:c>
      <x:c r="N10" s="31"/>
      <x:c r="O10" s="31"/>
      <x:c r="P10" s="31"/>
      <x:c r="Q10" s="31"/>
      <x:c r="R10" s="31"/>
      <x:c r="S10" s="32"/>
      <x:c r="T10" s="31"/>
    </x:row>
    <x:row r="11" ht="72" customHeight="1">
      <x:c r="A11" s="29" t="str">
        <x:v>A</x:v>
      </x:c>
      <x:c r="B11" s="29" t="str">
        <x:v>P1</x:v>
      </x:c>
      <x:c r="C11" s="29" t="str">
        <x:v>KMLS</x:v>
      </x:c>
      <x:c r="D11" s="29" t="str">
        <x:v>Deutschland</x:v>
      </x:c>
      <x:c r="E11" s="29" t="str">
        <x:v>Gebäudetechnik/Filialservice</x:v>
      </x:c>
      <x:c r="F11" s="29" t="str">
        <x:v>Deutschlandweites Netz, Service-Backoffice, 24/7-Leitwarte</x:v>
      </x:c>
      <x:c r="G11" s="29" t="str">
        <x:v>Zentrale Anlagen- und Störmeldungen; Telefon/E-Mail</x:v>
      </x:c>
      <x:c r="H11" s="29" t="str">
        <x:v>Alarm → Leitwarte → Techniker → Filiale/FM → Schichtübergabe → Abschluss</x:v>
      </x:c>
      <x:c r="I11" s="29" t="str">
        <x:v>Leitwarte; COO; Digitalisierung/MSR; IT</x:v>
      </x:c>
      <x:c r="J11" s="29" t="str">
        <x:v>Conversation/Commitment Layer über Alarm, Leitwarte, Filiale und Außendienst</x:v>
      </x:c>
      <x:c r="K11" s="29" t="str">
        <x:v>Hoher Digitalisierungsgrad, Gebäudeleittechnik-Integration, Größe</x:v>
      </x:c>
      <x:c r="L11" s="29" t="str">
        <x:v>https://kmls.de/leistungen/</x:v>
      </x:c>
      <x:c r="M11" s="29" t="str">
        <x:v>https://kmls.de/leistungen/msr-technologie/</x:v>
      </x:c>
      <x:c r="N11" s="31"/>
      <x:c r="O11" s="31"/>
      <x:c r="P11" s="31"/>
      <x:c r="Q11" s="31"/>
      <x:c r="R11" s="31"/>
      <x:c r="S11" s="32"/>
      <x:c r="T11" s="31"/>
    </x:row>
    <x:row r="12" ht="72" customHeight="1">
      <x:c r="A12" s="29" t="str">
        <x:v>A</x:v>
      </x:c>
      <x:c r="B12" s="29" t="str">
        <x:v>P2</x:v>
      </x:c>
      <x:c r="C12" s="29" t="str">
        <x:v>Zimmer MedizinSysteme</x:v>
      </x:c>
      <x:c r="D12" s="29" t="str">
        <x:v>Deutschland</x:v>
      </x:c>
      <x:c r="E12" s="29" t="str">
        <x:v>Medizintechnik</x:v>
      </x:c>
      <x:c r="F12" s="29" t="str">
        <x:v>10 Außendiensttechniker plus &gt;20 Service-Mitarbeitende</x:v>
      </x:c>
      <x:c r="G12" s="29" t="str">
        <x:v>Service-/Terminwege und TeamViewer Remote Support</x:v>
      </x:c>
      <x:c r="H12" s="29" t="str">
        <x:v>Gerätefehler → Remote → Termin/Teile → Außendienst → Dokumentation</x:v>
      </x:c>
      <x:c r="I12" s="29" t="str">
        <x:v>Service; QM/Regulatory; IT; Geschäftsführung</x:v>
      </x:c>
      <x:c r="J12" s="29" t="str">
        <x:v>Remote- und Vor-Ort-Service mit Sicherheitskontext verbinden</x:v>
      </x:c>
      <x:c r="K12" s="29" t="str">
        <x:v>Medizinprodukt, Validierung, möglicherweise kleine Fallzahl</x:v>
      </x:c>
      <x:c r="L12" s="29" t="str">
        <x:v>https://www.zimmer.de/service/</x:v>
      </x:c>
      <x:c r="M12" s="29" t="str"/>
      <x:c r="N12" s="31"/>
      <x:c r="O12" s="31"/>
      <x:c r="P12" s="31"/>
      <x:c r="Q12" s="31"/>
      <x:c r="R12" s="31"/>
      <x:c r="S12" s="32"/>
      <x:c r="T12" s="31"/>
    </x:row>
    <x:row r="13" ht="72" customHeight="1">
      <x:c r="A13" s="29" t="str">
        <x:v>A</x:v>
      </x:c>
      <x:c r="B13" s="29" t="str">
        <x:v>P2</x:v>
      </x:c>
      <x:c r="C13" s="29" t="str">
        <x:v>HERMED</x:v>
      </x:c>
      <x:c r="D13" s="29" t="str">
        <x:v>Deutschland</x:v>
      </x:c>
      <x:c r="E13" s="29" t="str">
        <x:v>Medizintechnik-Bewirtschaftung</x:v>
      </x:c>
      <x:c r="F13" s="29" t="str">
        <x:v>500 Mitarbeitende, &gt;300 Einrichtungen, deutschlandweite Projektstandorte</x:v>
      </x:c>
      <x:c r="G13" s="29" t="str">
        <x:v>EDV-System und rechtssichere Dokumentation</x:v>
      </x:c>
      <x:c r="H13" s="29" t="str">
        <x:v>Klinikmeldung → Projektstandort → Reparatur/Lieferant → Betreiberreport</x:v>
      </x:c>
      <x:c r="I13" s="29" t="str">
        <x:v>Geschäftsführung; Service; IT; QM/Regulatory</x:v>
      </x:c>
      <x:c r="J13" s="29" t="str">
        <x:v>Kommunikation mit Gerät, Betreiberpflicht und Entscheidung verknüpfen</x:v>
      </x:c>
      <x:c r="K13" s="29" t="str">
        <x:v>Fresenius-Konzern, reguliert, bestehendes EDV-System</x:v>
      </x:c>
      <x:c r="L13" s="29" t="str">
        <x:v>https://www.hermed.de/ihr-partner-im-gesundheitswesen/</x:v>
      </x:c>
      <x:c r="M13" s="29" t="str">
        <x:v>https://www.hermed.de/full-service/</x:v>
      </x:c>
      <x:c r="N13" s="31"/>
      <x:c r="O13" s="31"/>
      <x:c r="P13" s="31"/>
      <x:c r="Q13" s="31"/>
      <x:c r="R13" s="31"/>
      <x:c r="S13" s="32"/>
      <x:c r="T13" s="31"/>
    </x:row>
    <x:row r="14" ht="72" customHeight="1">
      <x:c r="A14" s="29" t="str">
        <x:v>A</x:v>
      </x:c>
      <x:c r="B14" s="29" t="str">
        <x:v>P2</x:v>
      </x:c>
      <x:c r="C14" s="29" t="str">
        <x:v>Kaffee Partner</x:v>
      </x:c>
      <x:c r="D14" s="29" t="str">
        <x:v>Deutschland</x:v>
      </x:c>
      <x:c r="E14" s="29" t="str">
        <x:v>Kaffeeautomaten/Field Service</x:v>
      </x:c>
      <x:c r="F14" s="29" t="str">
        <x:v>&gt;530 Mitarbeitende, &gt;130 bundesweite Servicetechniker (ältere offizielle Quelle)</x:v>
      </x:c>
      <x:c r="G14" s="29" t="str">
        <x:v>Standortnahe Betreuung; konkreter Intake öffentlich nicht belegt</x:v>
      </x:c>
      <x:c r="H14" s="29" t="str">
        <x:v>Maschinenstörung → Triage → regionaler Techniker → Teile → Abschluss</x:v>
      </x:c>
      <x:c r="I14" s="29" t="str">
        <x:v>Technischer Service; COO; Disposition; IT; Customer Care</x:v>
      </x:c>
      <x:c r="J14" s="29" t="str">
        <x:v>Proaktive Statuskommunikation und vollständiger Techniker-Kontext</x:v>
      </x:c>
      <x:c r="K14" s="29" t="str">
        <x:v>Größenquelle aktualisieren; reifes FSM wahrscheinlich</x:v>
      </x:c>
      <x:c r="L14" s="29" t="str">
        <x:v>https://www.kaffee-partner.de/de/ueber-uns/presse/lesen/mitarbeiter-von-kaffee-partner-spenden-3-000-euro-an-don-bosco</x:v>
      </x:c>
      <x:c r="M14" s="29" t="str"/>
      <x:c r="N14" s="31"/>
      <x:c r="O14" s="31"/>
      <x:c r="P14" s="31"/>
      <x:c r="Q14" s="31"/>
      <x:c r="R14" s="31"/>
      <x:c r="S14" s="32"/>
      <x:c r="T14" s="31"/>
    </x:row>
    <x:row r="15" ht="72" customHeight="1">
      <x:c r="A15" s="29" t="str">
        <x:v>A</x:v>
      </x:c>
      <x:c r="B15" s="29" t="str">
        <x:v>P2</x:v>
      </x:c>
      <x:c r="C15" s="29" t="str">
        <x:v>DQ Solutions</x:v>
      </x:c>
      <x:c r="D15" s="29" t="str">
        <x:v>Schweiz</x:v>
      </x:c>
      <x:c r="E15" s="29" t="str">
        <x:v>ICT-/Geräteservice</x:v>
      </x:c>
      <x:c r="F15" s="29" t="str">
        <x:v>Rund 300 Mitarbeitende, 22 Standorte, eigene Serviceorganisation</x:v>
      </x:c>
      <x:c r="G15" s="29" t="str">
        <x:v>Online-Reparatur, Filialkontakt und Support parallel</x:v>
      </x:c>
      <x:c r="H15" s="29" t="str">
        <x:v>Anmeldung/Filiale → Diagnose → Reparaturzentrum → Teile → Rückgabe</x:v>
      </x:c>
      <x:c r="I15" s="29" t="str">
        <x:v>Geschäftsleitung; Service; COO; IT; Customer Care</x:v>
      </x:c>
      <x:c r="J15" s="29" t="str">
        <x:v>Reparaturkontext über Online, Filiale, Business und Zentrum</x:v>
      </x:c>
      <x:c r="K15" s="29" t="str">
        <x:v>Apple-Systeme, B2C-Masse, bestehende Repair-Software</x:v>
      </x:c>
      <x:c r="L15" s="29" t="str">
        <x:v>https://www.dq-solutions.ch/de/unternehmen/ueber-uns</x:v>
      </x:c>
      <x:c r="M15" s="29" t="str">
        <x:v>https://www.dq-solutions.ch/de/dienstleistungen/reparaturen/apple-zubehoer-reparaturen</x:v>
      </x:c>
      <x:c r="N15" s="31"/>
      <x:c r="O15" s="31"/>
      <x:c r="P15" s="31"/>
      <x:c r="Q15" s="31"/>
      <x:c r="R15" s="31"/>
      <x:c r="S15" s="32"/>
      <x:c r="T15" s="31"/>
    </x:row>
    <x:row r="16" ht="72" customHeight="1">
      <x:c r="A16" s="29" t="str">
        <x:v>A</x:v>
      </x:c>
      <x:c r="B16" s="29" t="str">
        <x:v>P2</x:v>
      </x:c>
      <x:c r="C16" s="29" t="str">
        <x:v>Suter Gruppe</x:v>
      </x:c>
      <x:c r="D16" s="29" t="str">
        <x:v>Schweiz</x:v>
      </x:c>
      <x:c r="E16" s="29" t="str">
        <x:v>Wasser-/Brandschaden/mobile Wärme</x:v>
      </x:c>
      <x:c r="F16" s="29" t="str">
        <x:v>Regionale Standorte und 24h-Notfallservice; Größe noch verifizieren</x:v>
      </x:c>
      <x:c r="G16" s="29" t="str">
        <x:v>WhatsApp, Telefon, Formular, regionale Ansprechpartner, Fernüberwachung</x:v>
      </x:c>
      <x:c r="H16" s="29" t="str">
        <x:v>Notfall → Region → Installation → Überwachung → Updates → Abschluss</x:v>
      </x:c>
      <x:c r="I16" s="29" t="str">
        <x:v>Geschäftsleitung; Kundensupport; Schaden; Regional Ops; IT</x:v>
      </x:c>
      <x:c r="J16" s="29" t="str">
        <x:v>WhatsApp-Notfall in regionalen Langläufer überführen</x:v>
      </x:c>
      <x:c r="K16" s="29" t="str">
        <x:v>Größe/Struktur unklar; CH-Datenschutz</x:v>
      </x:c>
      <x:c r="L16" s="29" t="str">
        <x:v>https://www.sutergruppe.ch/kundensupport/</x:v>
      </x:c>
      <x:c r="M16" s="29" t="str"/>
      <x:c r="N16" s="31"/>
      <x:c r="O16" s="31"/>
      <x:c r="P16" s="31"/>
      <x:c r="Q16" s="31"/>
      <x:c r="R16" s="31"/>
      <x:c r="S16" s="32"/>
      <x:c r="T16" s="31"/>
    </x:row>
    <x:row r="17" ht="72" customHeight="1">
      <x:c r="A17" s="29" t="str">
        <x:v>A</x:v>
      </x:c>
      <x:c r="B17" s="29" t="str">
        <x:v>P2</x:v>
      </x:c>
      <x:c r="C17" s="29" t="str">
        <x:v>Swiss Service Center</x:v>
      </x:c>
      <x:c r="D17" s="29" t="str">
        <x:v>Schweiz</x:v>
      </x:c>
      <x:c r="E17" s="29" t="str">
        <x:v>Haushaltsgeräte-Reparaturnetz</x:v>
      </x:c>
      <x:c r="F17" s="29" t="str">
        <x:v>Regionales Servicenetz; Größe und Beschäftigungsmodell verifizieren</x:v>
      </x:c>
      <x:c r="G17" s="29" t="str">
        <x:v>Online-Auftrag, WhatsApp, Rückruf, Telefon; automatisierte Regionalroute</x:v>
      </x:c>
      <x:c r="H17" s="29" t="str">
        <x:v>Defekt → Bot/WhatsApp → Region → Termin → Teile/Nachtermin → Abschluss</x:v>
      </x:c>
      <x:c r="I17" s="29" t="str">
        <x:v>Geschäftsführung; Netzwerk; Dispatch; IT; Customer Service</x:v>
      </x:c>
      <x:c r="J17" s="29" t="str">
        <x:v>Nach Intake alle Nachtermine als kohärenter Reparaturfall</x:v>
      </x:c>
      <x:c r="K17" s="29" t="str">
        <x:v>Möglicherweise Netzwerk statt eigener Organisation; B2C</x:v>
      </x:c>
      <x:c r="L17" s="29" t="str">
        <x:v>https://www.swiss-servicecenter.ch/whatsapp</x:v>
      </x:c>
      <x:c r="M17" s="29" t="str"/>
      <x:c r="N17" s="31"/>
      <x:c r="O17" s="31"/>
      <x:c r="P17" s="31"/>
      <x:c r="Q17" s="31"/>
      <x:c r="R17" s="31"/>
      <x:c r="S17" s="32"/>
      <x:c r="T17" s="31"/>
    </x:row>
    <x:row r="18" ht="72" customHeight="1">
      <x:c r="A18" s="29" t="str">
        <x:v>A</x:v>
      </x:c>
      <x:c r="B18" s="29" t="str">
        <x:v>P2</x:v>
      </x:c>
      <x:c r="C18" s="29" t="str">
        <x:v>Hupfer</x:v>
      </x:c>
      <x:c r="D18" s="29" t="str">
        <x:v>Deutschland</x:v>
      </x:c>
      <x:c r="E18" s="29" t="str">
        <x:v>Großküchen-/Medizintechnik</x:v>
      </x:c>
      <x:c r="F18" s="29" t="str">
        <x:v>&gt;400 bzw. &gt;530 Mitarbeitende; technische und kaufmännische Serviceübergaben</x:v>
      </x:c>
      <x:c r="G18" s="29" t="str">
        <x:v>Telefon/E-Mail; Montage, Wartung und Reparatur geplant</x:v>
      </x:c>
      <x:c r="H18" s="29" t="str">
        <x:v>Störung → Technik/Kalkulation → Teile → Montage/Reparatur → Abschluss</x:v>
      </x:c>
      <x:c r="I18" s="29" t="str">
        <x:v>Technischer Service; COO; IT; Geschäftsführung; QM</x:v>
      </x:c>
      <x:c r="J18" s="29" t="str">
        <x:v>Telefon, technische Klärung, Teile und Termin als Commitment Flow</x:v>
      </x:c>
      <x:c r="K18" s="29" t="str">
        <x:v>Größe, zwei Geschäftsbereiche, etabliertes ERP</x:v>
      </x:c>
      <x:c r="L18" s="29" t="str">
        <x:v>https://www.hupfer.com/nl/jobs/show/id/2553207</x:v>
      </x:c>
      <x:c r="M18" s="29" t="str">
        <x:v>https://www.hupfer.com/media/pdf/37/a6/68/hupfer_ausbildungs_broschuere_201012_neu_Fachinformatiker.pdf</x:v>
      </x:c>
      <x:c r="N18" s="31"/>
      <x:c r="O18" s="31"/>
      <x:c r="P18" s="31"/>
      <x:c r="Q18" s="31"/>
      <x:c r="R18" s="31"/>
      <x:c r="S18" s="32"/>
      <x:c r="T18" s="31"/>
    </x:row>
    <x:row r="19" ht="72" customHeight="1">
      <x:c r="A19" s="29" t="str">
        <x:v>A</x:v>
      </x:c>
      <x:c r="B19" s="29" t="str">
        <x:v>P3</x:v>
      </x:c>
      <x:c r="C19" s="29" t="str">
        <x:v>Walter Bösch</x:v>
      </x:c>
      <x:c r="D19" s="29" t="str">
        <x:v>Österreich</x:v>
      </x:c>
      <x:c r="E19" s="29" t="str">
        <x:v>Heizung/Klima/Lüftung</x:v>
      </x:c>
      <x:c r="F19" s="29" t="str">
        <x:v>739 Mitarbeitende, 320 Kundendienst, 7 Landesbüros, 230+ Techniker</x:v>
      </x:c>
      <x:c r="G19" s="29" t="str">
        <x:v>24h-Telefon, Webanfrage, Rückruf; After-Sales-Toolaufbau</x:v>
      </x:c>
      <x:c r="H19" s="29" t="str">
        <x:v>Störung → Landesbüro/Disposition → Techniker → Teile → Verrechnung</x:v>
      </x:c>
      <x:c r="I19" s="29" t="str">
        <x:v>Kundendienst; COO; IT; Disposition; After Sales</x:v>
      </x:c>
      <x:c r="J19" s="29" t="str">
        <x:v>Pilot in Region/Tochter für standortübergreifenden After Sales</x:v>
      </x:c>
      <x:c r="K19" s="29" t="str">
        <x:v>Über ICP-Größe; komplexe Beschaffung/Integration</x:v>
      </x:c>
      <x:c r="L19" s="29" t="str">
        <x:v>https://www.boesch.at/unternehmen</x:v>
      </x:c>
      <x:c r="M19" s="29" t="str">
        <x:v>https://www.boesch.at/kundendienst</x:v>
      </x:c>
      <x:c r="N19" s="31"/>
      <x:c r="O19" s="31"/>
      <x:c r="P19" s="31"/>
      <x:c r="Q19" s="31"/>
      <x:c r="R19" s="31"/>
      <x:c r="S19" s="32"/>
      <x:c r="T19" s="31"/>
    </x:row>
    <x:row r="20" ht="72" customHeight="1">
      <x:c r="A20" s="29" t="str">
        <x:v>B</x:v>
      </x:c>
      <x:c r="B20" s="29" t="str">
        <x:v>P1</x:v>
      </x:c>
      <x:c r="C20" s="29" t="str">
        <x:v>Meister</x:v>
      </x:c>
      <x:c r="D20" s="29" t="str">
        <x:v>Österreich/Deutschland</x:v>
      </x:c>
      <x:c r="E20" s="29" t="str">
        <x:v>Productivity SaaS</x:v>
      </x:c>
      <x:c r="F20" s="29" t="str">
        <x:v>AI-Support beseitigte &gt;1.000 Ticket-Backlog; 67 % Sofortlösung</x:v>
      </x:c>
      <x:c r="G20" s="29" t="str">
        <x:v>Produktive AI-Support-Automation mit verbleibenden komplexen Fällen</x:v>
      </x:c>
      <x:c r="H20" s="29" t="str">
        <x:v>AI → Mensch → Produktteam mit Owner, Promise Tracking und Audit</x:v>
      </x:c>
      <x:c r="I20" s="29" t="str">
        <x:v>Head of CX/Support; VP Operations; CTO</x:v>
      </x:c>
      <x:c r="J20" s="29" t="str">
        <x:v>Was passiert mit den 33 %, die AI nicht sicher löst?</x:v>
      </x:c>
      <x:c r="K20" s="29" t="str">
        <x:v>Bestehender AI-Anbieter; Mehrwert oberhalb Automation beweisen</x:v>
      </x:c>
      <x:c r="L20" s="29" t="str">
        <x:v>https://a.storyblok.com/f/289344/x/87f9b64c80/20250408_meister-csr-report-2024.pdf</x:v>
      </x:c>
      <x:c r="M20" s="29" t="str"/>
      <x:c r="N20" s="31"/>
      <x:c r="O20" s="31"/>
      <x:c r="P20" s="31"/>
      <x:c r="Q20" s="31"/>
      <x:c r="R20" s="31"/>
      <x:c r="S20" s="32"/>
      <x:c r="T20" s="31"/>
    </x:row>
    <x:row r="21" ht="72" customHeight="1">
      <x:c r="A21" s="29" t="str">
        <x:v>B</x:v>
      </x:c>
      <x:c r="B21" s="29" t="str">
        <x:v>P1</x:v>
      </x:c>
      <x:c r="C21" s="29" t="str">
        <x:v>Birdie</x:v>
      </x:c>
      <x:c r="D21" s="29" t="str">
        <x:v>UK</x:v>
      </x:c>
      <x:c r="E21" s="29" t="str">
        <x:v>B2B Caretech</x:v>
      </x:c>
      <x:c r="F21" s="29" t="str">
        <x:v>12 Support Associates; Intercom/Fin; 26 % AI-Auflösung; DPO/CTO-Prüfung</x:v>
      </x:c>
      <x:c r="G21" s="29" t="str">
        <x:v>AI produktiv; sensible und multimodale Übergaben</x:v>
      </x:c>
      <x:c r="H21" s="29" t="str">
        <x:v>AI → Support → CS/Care-Team mit sicherer Zuständigkeit</x:v>
      </x:c>
      <x:c r="I21" s="29" t="str">
        <x:v>Revenue Ops; Head of Support; CTO; DPO</x:v>
      </x:c>
      <x:c r="J21" s="29" t="str">
        <x:v>Sichere Übergabe bei sensiblen/unvollständigen Anfragen</x:v>
      </x:c>
      <x:c r="K21" s="29" t="str">
        <x:v>Care-/Gesundheitsdaten, DPIA, UK/EU-Transfer</x:v>
      </x:c>
      <x:c r="L21" s="29" t="str">
        <x:v>https://www.intercom.com/customers/birdie-care</x:v>
      </x:c>
      <x:c r="M21" s="29" t="str"/>
      <x:c r="N21" s="31"/>
      <x:c r="O21" s="31"/>
      <x:c r="P21" s="31"/>
      <x:c r="Q21" s="31"/>
      <x:c r="R21" s="31"/>
      <x:c r="S21" s="32"/>
      <x:c r="T21" s="31"/>
    </x:row>
    <x:row r="22" ht="72" customHeight="1">
      <x:c r="A22" s="29" t="str">
        <x:v>B</x:v>
      </x:c>
      <x:c r="B22" s="29" t="str">
        <x:v>P1</x:v>
      </x:c>
      <x:c r="C22" s="29" t="str">
        <x:v>Storyblok</x:v>
      </x:c>
      <x:c r="D22" s="29" t="str">
        <x:v>Österreich</x:v>
      </x:c>
      <x:c r="E22" s="29" t="str">
        <x:v>Headless CMS/B2B SaaS</x:v>
      </x:c>
      <x:c r="F22" s="29" t="str">
        <x:v>In-App Support, Premium Live Chat, Discord; MCP- und agentic-Positionierung</x:v>
      </x:c>
      <x:c r="G22" s="29" t="str">
        <x:v>Mehrere Kanäle und technisch reife Plattform</x:v>
      </x:c>
      <x:c r="H22" s="29" t="str">
        <x:v>Community/Support → Solutions → Product/Engineering</x:v>
      </x:c>
      <x:c r="I22" s="29" t="str">
        <x:v>VP CX; Head of Support; VP Solutions; CTO</x:v>
      </x:c>
      <x:c r="J22" s="29" t="str">
        <x:v>Kontext über Discord, Live Chat und technische Eskalationen</x:v>
      </x:c>
      <x:c r="K22" s="29" t="str">
        <x:v>Eigenentwicklung; anspruchsvolle API-/Security-Käufer</x:v>
      </x:c>
      <x:c r="L22" s="29" t="str">
        <x:v>https://www.storyblok.com/trust-center/service-support.html</x:v>
      </x:c>
      <x:c r="M22" s="29" t="str">
        <x:v>https://www.storyblok.com/lp/agentic-experiences</x:v>
      </x:c>
      <x:c r="N22" s="31"/>
      <x:c r="O22" s="31"/>
      <x:c r="P22" s="31"/>
      <x:c r="Q22" s="31"/>
      <x:c r="R22" s="31"/>
      <x:c r="S22" s="32"/>
      <x:c r="T22" s="31"/>
    </x:row>
    <x:row r="23" ht="72" customHeight="1">
      <x:c r="A23" s="29" t="str">
        <x:v>B</x:v>
      </x:c>
      <x:c r="B23" s="29" t="str">
        <x:v>P1</x:v>
      </x:c>
      <x:c r="C23" s="29" t="str">
        <x:v>Sastrify</x:v>
      </x:c>
      <x:c r="D23" s="29" t="str">
        <x:v>Deutschland</x:v>
      </x:c>
      <x:c r="E23" s="29" t="str">
        <x:v>Procurement SaaS</x:v>
      </x:c>
      <x:c r="F23" s="29" t="str">
        <x:v>IDP/ERP, Intake, Freigaben, Vendor Tracking; AI Governance und Audit Readiness</x:v>
      </x:c>
      <x:c r="G23" s="29" t="str">
        <x:v>AI-/Policy-Reife und multi-party Procurement Workflows</x:v>
      </x:c>
      <x:c r="H23" s="29" t="str">
        <x:v>Kunde → Procurement Expert → Vendor/Legal/Finance → Commitment</x:v>
      </x:c>
      <x:c r="I23" s="29" t="str">
        <x:v>COO; Procurement Ops; VP CS; CISO/DPO</x:v>
      </x:c>
      <x:c r="J23" s="29" t="str">
        <x:v>Control Plane für Renewal-/Negotiation-Fall</x:v>
      </x:c>
      <x:c r="K23" s="29" t="str">
        <x:v>Vertrauliche Verträge; könnte angrenzende Funktionen selbst bauen</x:v>
      </x:c>
      <x:c r="L23" s="29" t="str">
        <x:v>https://www.sastrify.com/ai-governance</x:v>
      </x:c>
      <x:c r="M23" s="29" t="str">
        <x:v>https://support.sastrify.com/support/solutions/articles/101000500776-get-expert-procurement-support-for-new-purchases-and-renewals</x:v>
      </x:c>
      <x:c r="N23" s="31"/>
      <x:c r="O23" s="31"/>
      <x:c r="P23" s="31"/>
      <x:c r="Q23" s="31"/>
      <x:c r="R23" s="31"/>
      <x:c r="S23" s="32"/>
      <x:c r="T23" s="31"/>
    </x:row>
    <x:row r="24" ht="72" customHeight="1">
      <x:c r="A24" s="29" t="str">
        <x:v>B</x:v>
      </x:c>
      <x:c r="B24" s="29" t="str">
        <x:v>P1</x:v>
      </x:c>
      <x:c r="C24" s="29" t="str">
        <x:v>Leapsome</x:v>
      </x:c>
      <x:c r="D24" s="29" t="str">
        <x:v>Deutschland</x:v>
      </x:c>
      <x:c r="E24" s="29" t="str">
        <x:v>HR SaaS</x:v>
      </x:c>
      <x:c r="F24" s="29" t="str">
        <x:v>AI Copilot/Analytics; mehrere AI-Subprozessoren; Support EU/USA</x:v>
      </x:c>
      <x:c r="G24" s="29" t="str">
        <x:v>Modellübergreifende AI-Nutzung und sensible HR-Daten</x:v>
      </x:c>
      <x:c r="H24" s="29" t="str">
        <x:v>AI-Support → CS → Technik mit Modell-/Datenherkunft</x:v>
      </x:c>
      <x:c r="I24" s="29" t="str">
        <x:v>VP CX; Head of CS; CTO; DPO</x:v>
      </x:c>
      <x:c r="J24" s="29" t="str">
        <x:v>Modellübergreifende Governance und Handoffs</x:v>
      </x:c>
      <x:c r="K24" s="29" t="str">
        <x:v>HR-Daten, Betriebsrat, DPIA, Datenresidenz</x:v>
      </x:c>
      <x:c r="L24" s="29" t="str">
        <x:v>https://www.leapsome.com/why-leapsome</x:v>
      </x:c>
      <x:c r="M24" s="29" t="str">
        <x:v>https://www.leapsome.com/legal/subprocessors</x:v>
      </x:c>
      <x:c r="N24" s="31"/>
      <x:c r="O24" s="31"/>
      <x:c r="P24" s="31"/>
      <x:c r="Q24" s="31"/>
      <x:c r="R24" s="31"/>
      <x:c r="S24" s="32"/>
      <x:c r="T24" s="31"/>
    </x:row>
    <x:row r="25" ht="72" customHeight="1">
      <x:c r="A25" s="29" t="str">
        <x:v>B</x:v>
      </x:c>
      <x:c r="B25" s="29" t="str">
        <x:v>P1</x:v>
      </x:c>
      <x:c r="C25" s="29" t="str">
        <x:v>Moss</x:v>
      </x:c>
      <x:c r="D25" s="29" t="str">
        <x:v>Deutschland</x:v>
      </x:c>
      <x:c r="E25" s="29" t="str">
        <x:v>Spend Management/Fintech SaaS</x:v>
      </x:c>
      <x:c r="F25" s="29" t="str">
        <x:v>AI Agents für Belege/Matching; Override und Audit Logs; ERP-Integrationen</x:v>
      </x:c>
      <x:c r="G25" s="29" t="str">
        <x:v>Produktive AI-Aktionen plus Finance-Freigaben</x:v>
      </x:c>
      <x:c r="H25" s="29" t="str">
        <x:v>AI-Exception → Finance/Support → erklärbare Kundenlösung</x:v>
      </x:c>
      <x:c r="I25" s="29" t="str">
        <x:v>VP Customer Ops; Head of Support; COO; CISO</x:v>
      </x:c>
      <x:c r="J25" s="29" t="str">
        <x:v>Vom AI-/Policy-Fehler bis zur nachvollziehbaren Lösung</x:v>
      </x:c>
      <x:c r="K25" s="29" t="str">
        <x:v>Finanzdaten, Haftung, längerer Security Review</x:v>
      </x:c>
      <x:c r="L25" s="29" t="str">
        <x:v>https://www.getmoss.com/en-gb/moss-intelligence</x:v>
      </x:c>
      <x:c r="M25" s="29" t="str">
        <x:v>https://www.getmoss.com/en-gb/accounts-payable</x:v>
      </x:c>
      <x:c r="N25" s="31"/>
      <x:c r="O25" s="31"/>
      <x:c r="P25" s="31"/>
      <x:c r="Q25" s="31"/>
      <x:c r="R25" s="31"/>
      <x:c r="S25" s="32"/>
      <x:c r="T25" s="31"/>
    </x:row>
    <x:row r="26" ht="72" customHeight="1">
      <x:c r="A26" s="29" t="str">
        <x:v>B</x:v>
      </x:c>
      <x:c r="B26" s="29" t="str">
        <x:v>P1</x:v>
      </x:c>
      <x:c r="C26" s="29" t="str">
        <x:v>Deliverect</x:v>
      </x:c>
      <x:c r="D26" s="29" t="str">
        <x:v>Belgien</x:v>
      </x:c>
      <x:c r="E26" s="29" t="str">
        <x:v>Commerce-Integrationssoftware</x:v>
      </x:c>
      <x:c r="F26" s="29" t="str">
        <x:v>40+ Märkte, 14 Länder; multilingual AI; 86,7 % Self-Service</x:v>
      </x:c>
      <x:c r="G26" s="29" t="str">
        <x:v>Hohe Automation und komplexer, globaler Restfall</x:v>
      </x:c>
      <x:c r="H26" s="29" t="str">
        <x:v>Ungelöste POS-/Order-/Partner-Eskalation über Regionen/Systeme</x:v>
      </x:c>
      <x:c r="I26" s="29" t="str">
        <x:v>Global Head of CX; CX Ops; VP Support; CTO</x:v>
      </x:c>
      <x:c r="J26" s="29" t="str">
        <x:v>End-to-End Resolution statt AI-Deflection</x:v>
      </x:c>
      <x:c r="K26" s="29" t="str">
        <x:v>Über Größenkorridor; globale Daten; Intercom-Abhängigkeit</x:v>
      </x:c>
      <x:c r="L26" s="29" t="str">
        <x:v>https://www.intercom.com/blog/fin-ai-chatbot-45-languages/</x:v>
      </x:c>
      <x:c r="M26" s="29" t="str">
        <x:v>https://www.intercom.com/customers</x:v>
      </x:c>
      <x:c r="N26" s="31"/>
      <x:c r="O26" s="31"/>
      <x:c r="P26" s="31"/>
      <x:c r="Q26" s="31"/>
      <x:c r="R26" s="31"/>
      <x:c r="S26" s="32"/>
      <x:c r="T26" s="31"/>
    </x:row>
    <x:row r="27" ht="72" customHeight="1">
      <x:c r="A27" s="29" t="str">
        <x:v>B</x:v>
      </x:c>
      <x:c r="B27" s="29" t="str">
        <x:v>P2</x:v>
      </x:c>
      <x:c r="C27" s="29" t="str">
        <x:v>JustPark</x:v>
      </x:c>
      <x:c r="D27" s="29" t="str">
        <x:v>UK</x:v>
      </x:c>
      <x:c r="E27" s="29" t="str">
        <x:v>Parking Marketplace</x:v>
      </x:c>
      <x:c r="F27" s="29" t="str">
        <x:v>Zendesk AI Agents, Copilot, Help Center und QA</x:v>
      </x:c>
      <x:c r="G27" s="29" t="str">
        <x:v>Self-Service plus multi-party Payment/Location Cases</x:v>
      </x:c>
      <x:c r="H27" s="29" t="str">
        <x:v>Fahrer → Betreiber → Payment/Ops bei ungelösten Fällen</x:v>
      </x:c>
      <x:c r="I27" s="29" t="str">
        <x:v>Head of Customer Ops; Continuous Improvement; COO</x:v>
      </x:c>
      <x:c r="J27" s="29" t="str">
        <x:v>End-to-End Resolution statt Artikelvorschlag</x:v>
      </x:c>
      <x:c r="K27" s="29" t="str">
        <x:v>B2C/B2B gemischt; Payment-/Standortdaten</x:v>
      </x:c>
      <x:c r="L27" s="29" t="str">
        <x:v>https://www.zendesk.com/customer/justpark/</x:v>
      </x:c>
      <x:c r="M27" s="29" t="str"/>
      <x:c r="N27" s="31"/>
      <x:c r="O27" s="31"/>
      <x:c r="P27" s="31"/>
      <x:c r="Q27" s="31"/>
      <x:c r="R27" s="31"/>
      <x:c r="S27" s="32"/>
      <x:c r="T27" s="31"/>
    </x:row>
    <x:row r="28" ht="72" customHeight="1">
      <x:c r="A28" s="29" t="str">
        <x:v>B</x:v>
      </x:c>
      <x:c r="B28" s="29" t="str">
        <x:v>P2</x:v>
      </x:c>
      <x:c r="C28" s="29" t="str">
        <x:v>tado°</x:v>
      </x:c>
      <x:c r="D28" s="29" t="str">
        <x:v>Deutschland</x:v>
      </x:c>
      <x:c r="E28" s="29" t="str">
        <x:v>IoT/Energy Platform</x:v>
      </x:c>
      <x:c r="F28" s="29" t="str">
        <x:v>6 Sprachen, bis 400 % saisonale Peaks, Fin/Workflows/Help Center</x:v>
      </x:c>
      <x:c r="G28" s="29" t="str">
        <x:v>AI-Support mit IoT-/Engineering-Eskalationen</x:v>
      </x:c>
      <x:c r="H28" s="29" t="str">
        <x:v>Gerät/Tarif → AI/Support → Engineering/Partner</x:v>
      </x:c>
      <x:c r="I28" s="29" t="str">
        <x:v>Head of CX; Support Ops; VP Product; CTO</x:v>
      </x:c>
      <x:c r="J28" s="29" t="str">
        <x:v>Commitment-Kontinuität bei saisonalen Eskalationen</x:v>
      </x:c>
      <x:c r="K28" s="29" t="str">
        <x:v>B2C; möglicherweise &gt;500; IoT-/Energiedaten</x:v>
      </x:c>
      <x:c r="L28" s="29" t="str">
        <x:v>https://www.intercom.com/customers/tado-fin</x:v>
      </x:c>
      <x:c r="M28" s="29" t="str"/>
      <x:c r="N28" s="31"/>
      <x:c r="O28" s="31"/>
      <x:c r="P28" s="31"/>
      <x:c r="Q28" s="31"/>
      <x:c r="R28" s="31"/>
      <x:c r="S28" s="32"/>
      <x:c r="T28" s="31"/>
    </x:row>
    <x:row r="29" ht="72" customHeight="1">
      <x:c r="A29" s="29" t="str">
        <x:v>B</x:v>
      </x:c>
      <x:c r="B29" s="29" t="str">
        <x:v>P2</x:v>
      </x:c>
      <x:c r="C29" s="29" t="str">
        <x:v>Numan</x:v>
      </x:c>
      <x:c r="D29" s="29" t="str">
        <x:v>UK</x:v>
      </x:c>
      <x:c r="E29" s="29" t="str">
        <x:v>Digital Health</x:v>
      </x:c>
      <x:c r="F29" s="29" t="str">
        <x:v>70.000 Supportgespräche/Monat; 47 % AI-Auflösung; Clinician Routing</x:v>
      </x:c>
      <x:c r="G29" s="29" t="str">
        <x:v>Produktive AI mit Policy-gesteuerter klinischer Grenze</x:v>
      </x:c>
      <x:c r="H29" s="29" t="str">
        <x:v>AI → Ops/Clinician mit Audit und klarer Policy</x:v>
      </x:c>
      <x:c r="I29" s="29" t="str">
        <x:v>Customer Ops; Platform Manager; Clinical Ops; DPO</x:v>
      </x:c>
      <x:c r="J29" s="29" t="str">
        <x:v>Policy Enforcement über AI-/Human-Handoffs</x:v>
      </x:c>
      <x:c r="K29" s="29" t="str">
        <x:v>Gesundheitsdaten, klinische Haftung, kein reines B2B</x:v>
      </x:c>
      <x:c r="L29" s="29" t="str">
        <x:v>https://www.intercom.com/customers/numan</x:v>
      </x:c>
      <x:c r="M29" s="29" t="str"/>
      <x:c r="N29" s="31"/>
      <x:c r="O29" s="31"/>
      <x:c r="P29" s="31"/>
      <x:c r="Q29" s="31"/>
      <x:c r="R29" s="31"/>
      <x:c r="S29" s="32"/>
      <x:c r="T29" s="31"/>
    </x:row>
    <x:row r="30" ht="72" customHeight="1">
      <x:c r="A30" s="29" t="str">
        <x:v>B</x:v>
      </x:c>
      <x:c r="B30" s="29" t="str">
        <x:v>P2</x:v>
      </x:c>
      <x:c r="C30" s="29" t="str">
        <x:v>Grover</x:v>
      </x:c>
      <x:c r="D30" s="29" t="str">
        <x:v>Deutschland</x:v>
      </x:c>
      <x:c r="E30" s="29" t="str">
        <x:v>Technology Rental</x:v>
      </x:c>
      <x:c r="F30" s="29" t="str">
        <x:v>30 % automatisierte Gespräche; eigene Apps verbinden Tech Stack</x:v>
      </x:c>
      <x:c r="G30" s="29" t="str">
        <x:v>Cross-System Miet-/Payment-/Logistikprozesse</x:v>
      </x:c>
      <x:c r="H30" s="29" t="str">
        <x:v>Support → Eigen-Apps → Payment/Logistik</x:v>
      </x:c>
      <x:c r="I30" s="29" t="str">
        <x:v>VP Customer Ops; CX Systems; CTO</x:v>
      </x:c>
      <x:c r="J30" s="29" t="str">
        <x:v>Orchestrierung oberhalb selbstgebauter Integrationen</x:v>
      </x:c>
      <x:c r="K30" s="29" t="str">
        <x:v>B2C; Kredit-/Paymentdaten; Stabilität prüfen</x:v>
      </x:c>
      <x:c r="L30" s="29" t="str">
        <x:v>https://www.intercom.com/learning-center/ai-customer-service-companies</x:v>
      </x:c>
      <x:c r="M30" s="29" t="str"/>
      <x:c r="N30" s="31"/>
      <x:c r="O30" s="31"/>
      <x:c r="P30" s="31"/>
      <x:c r="Q30" s="31"/>
      <x:c r="R30" s="31"/>
      <x:c r="S30" s="32"/>
      <x:c r="T30" s="31"/>
    </x:row>
    <x:row r="31" ht="72" customHeight="1">
      <x:c r="A31" s="29" t="str">
        <x:v>B</x:v>
      </x:c>
      <x:c r="B31" s="29" t="str">
        <x:v>P2</x:v>
      </x:c>
      <x:c r="C31" s="29" t="str">
        <x:v>Personio Support Unit</x:v>
      </x:c>
      <x:c r="D31" s="29" t="str">
        <x:v>Deutschland</x:v>
      </x:c>
      <x:c r="E31" s="29" t="str">
        <x:v>HR SaaS</x:v>
      </x:c>
      <x:c r="F31" s="29" t="str">
        <x:v>AI Chat, Self-Service, Formulare, Callback, Tickets, Premium Support</x:v>
      </x:c>
      <x:c r="G31" s="29" t="str">
        <x:v>Abgegrenzte operative Einheit mit mehreren Kanälen</x:v>
      </x:c>
      <x:c r="H31" s="29" t="str">
        <x:v>AI Q&amp;A → Ticket/Callback → Premium Account Team</x:v>
      </x:c>
      <x:c r="I31" s="29" t="str">
        <x:v>VP CX; Support Ops; CIO/CISO</x:v>
      </x:c>
      <x:c r="J31" s="29" t="str">
        <x:v>Kontrollierter Layer zwischen AI, Ticket und Account Team</x:v>
      </x:c>
      <x:c r="K31" s="29" t="str">
        <x:v>Gesamtfirma groß; Enterprise Procurement</x:v>
      </x:c>
      <x:c r="L31" s="29" t="str">
        <x:v>https://www.personio.com/personio-support/</x:v>
      </x:c>
      <x:c r="M31" s="29" t="str"/>
      <x:c r="N31" s="31"/>
      <x:c r="O31" s="31"/>
      <x:c r="P31" s="31"/>
      <x:c r="Q31" s="31"/>
      <x:c r="R31" s="31"/>
      <x:c r="S31" s="32"/>
      <x:c r="T31" s="31"/>
    </x:row>
    <x:row r="32" ht="72" customHeight="1">
      <x:c r="A32" s="29" t="str">
        <x:v>B</x:v>
      </x:c>
      <x:c r="B32" s="29" t="str">
        <x:v>P2</x:v>
      </x:c>
      <x:c r="C32" s="29" t="str">
        <x:v>CleanCloud</x:v>
      </x:c>
      <x:c r="D32" s="29" t="str">
        <x:v>UK</x:v>
      </x:c>
      <x:c r="E32" s="29" t="str">
        <x:v>Vertical SaaS</x:v>
      </x:c>
      <x:c r="F32" s="29" t="str">
        <x:v>Fin bearbeitete fast 10.000 Anfragen; Größenfit noch verifizieren</x:v>
      </x:c>
      <x:c r="G32" s="29" t="str">
        <x:v>Hohe AI-Automation in kleinerem Vertical SaaS</x:v>
      </x:c>
      <x:c r="H32" s="29" t="str">
        <x:v>Supportfall zwischen Endkunde, Wäscherei, Zahlung, Zustellung</x:v>
      </x:c>
      <x:c r="I32" s="29" t="str">
        <x:v>Head of Support/CS; Tech Ops; Founder/COO</x:v>
      </x:c>
      <x:c r="J32" s="29" t="str">
        <x:v>Der schwierige Rest nach hoher Automation</x:v>
      </x:c>
      <x:c r="K32" s="29" t="str">
        <x:v>Möglicherweise &lt;50; öffentliche Belege begrenzt</x:v>
      </x:c>
      <x:c r="L32" s="29" t="str">
        <x:v>https://www.intercom.com/customers</x:v>
      </x:c>
      <x:c r="M32" s="29" t="str"/>
      <x:c r="N32" s="31"/>
      <x:c r="O32" s="31"/>
      <x:c r="P32" s="31"/>
      <x:c r="Q32" s="31"/>
      <x:c r="R32" s="31"/>
      <x:c r="S32" s="32"/>
      <x:c r="T32" s="31"/>
    </x:row>
    <x:row r="33" ht="72" customHeight="1">
      <x:c r="A33" s="29" t="str">
        <x:v>B</x:v>
      </x:c>
      <x:c r="B33" s="29" t="str">
        <x:v>P3</x:v>
      </x:c>
      <x:c r="C33" s="29" t="str">
        <x:v>Dixa</x:v>
      </x:c>
      <x:c r="D33" s="29" t="str">
        <x:v>Dänemark</x:v>
      </x:c>
      <x:c r="E33" s="29" t="str">
        <x:v>Customer-Service-Software</x:v>
      </x:c>
      <x:c r="F33" s="29" t="str">
        <x:v>Telefon/E-Mail/Chat/WhatsApp/Social; AI führt Aktionen aus; 850+ Marken</x:v>
      </x:c>
      <x:c r="G33" s="29" t="str">
        <x:v>Partner-/adversariales Gespräch, kein normaler Kunde</x:v>
      </x:c>
      <x:c r="H33" s="29" t="str">
        <x:v>Interoperabilität und non-support Kommunikation</x:v>
      </x:c>
      <x:c r="I33" s="29" t="str">
        <x:v>CTPO; Partnerships; Platform</x:v>
      </x:c>
      <x:c r="J33" s="29" t="str">
        <x:v>Neutraler Event-/Commitment-Layer oberhalb CX Suite</x:v>
      </x:c>
      <x:c r="K33" s="29" t="str">
        <x:v>Direkter Wettbewerber und IP-Risiko</x:v>
      </x:c>
      <x:c r="L33" s="29" t="str">
        <x:v>https://www.dixa.com/about-us</x:v>
      </x:c>
      <x:c r="M33" s="29" t="str">
        <x:v>https://dixa.com/blog/dixa-roadmap-q1-2026</x:v>
      </x:c>
      <x:c r="N33" s="31"/>
      <x:c r="O33" s="31"/>
      <x:c r="P33" s="31"/>
      <x:c r="Q33" s="31"/>
      <x:c r="R33" s="31"/>
      <x:c r="S33" s="32"/>
      <x:c r="T33" s="31"/>
    </x:row>
    <x:row r="34" ht="72" customHeight="1">
      <x:c r="A34" s="29" t="str">
        <x:v>B</x:v>
      </x:c>
      <x:c r="B34" s="29" t="str">
        <x:v>P3</x:v>
      </x:c>
      <x:c r="C34" s="29" t="str">
        <x:v>Docebo EMEA Support Unit</x:v>
      </x:c>
      <x:c r="D34" s="29" t="str">
        <x:v>Italien</x:v>
      </x:c>
      <x:c r="E34" s="29" t="str">
        <x:v>B2B Learning SaaS</x:v>
      </x:c>
      <x:c r="F34" s="29" t="str">
        <x:v>35 % AI-Chat-Auflösung, 20 % weniger Tickets, schnellere Resolution/QA</x:v>
      </x:c>
      <x:c r="G34" s="29" t="str">
        <x:v>Abgegrenzte globale Support-Einheit</x:v>
      </x:c>
      <x:c r="H34" s="29" t="str">
        <x:v>AI/QA → Support/CS/Product über Regionen</x:v>
      </x:c>
      <x:c r="I34" s="29" t="str">
        <x:v>VP Support; Support Ops; CIO/CISO</x:v>
      </x:c>
      <x:c r="J34" s="29" t="str">
        <x:v>Cross-System Resolution Governance jenseits QA</x:v>
      </x:c>
      <x:c r="K34" s="29" t="str">
        <x:v>Über Zielgröße; globales Procurement; Zendesk-Vertrag</x:v>
      </x:c>
      <x:c r="L34" s="29" t="str">
        <x:v>https://www.zendesk.com/customer/docebo/</x:v>
      </x:c>
      <x:c r="M34" s="29" t="str"/>
      <x:c r="N34" s="31"/>
      <x:c r="O34" s="31"/>
      <x:c r="P34" s="31"/>
      <x:c r="Q34" s="31"/>
      <x:c r="R34" s="31"/>
      <x:c r="S34" s="32"/>
      <x:c r="T34" s="31"/>
    </x:row>
  </x:sheetData>
  <x:mergeCells>
    <x:mergeCell ref="A1:T1"/>
    <x:mergeCell ref="A2:T2"/>
  </x:mergeCells>
  <x:conditionalFormatting sqref="B5:B34">
    <x:cfRule type="containsText" dxfId="6" priority="1" operator="containsText" text="P1"/>
    <x:cfRule type="containsText" dxfId="7" priority="2" operator="containsText" text="P3"/>
  </x:conditionalFormatting>
  <x:dataValidations count="4">
    <x:dataValidation type="list" sqref="N5:N34">
      <x:formula1>"Unknown,Probable,Verified,Disqualified"</x:formula1>
    </x:dataValidation>
    <x:dataValidation type="list" sqref="O5:O34">
      <x:formula1>"None,Warm intro,Partner intro,Community opt-in,Event opt-in,Research panel,Inbound"</x:formula1>
    </x:dataValidation>
    <x:dataValidation type="list" sqref="P5:P34">
      <x:formula1>"Not reviewed,Allowed,Blocked,Legal review"</x:formula1>
    </x:dataValidation>
    <x:dataValidation type="whole" operator="between" sqref="T5:T34">
      <x:formula1>0</x:formula1>
      <x:formula2>100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7" hidden="0" customWidth="1"/>
    <x:col min="11" max="11" width="16" hidden="0" customWidth="1"/>
    <x:col min="12" max="12" width="16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12" hidden="0" customWidth="1"/>
  </x:cols>
  <x:sheetData>
    <x:row r="1" ht="30" customHeight="1">
      <x:c r="A1" s="25" t="str">
        <x:v>Permissioned Outreach Pipeline</x:v>
      </x:c>
      <x:c r="B1" s="25" t="str">
        <x:v>Permissioned Outreach Pipeline</x:v>
      </x:c>
      <x:c r="C1" s="25" t="str">
        <x:v>Permissioned Outreach Pipeline</x:v>
      </x:c>
      <x:c r="D1" s="25" t="str">
        <x:v>Permissioned Outreach Pipeline</x:v>
      </x:c>
      <x:c r="E1" s="25" t="str">
        <x:v>Permissioned Outreach Pipeline</x:v>
      </x:c>
      <x:c r="F1" s="25" t="str">
        <x:v>Permissioned Outreach Pipeline</x:v>
      </x:c>
      <x:c r="G1" s="25" t="str">
        <x:v>Permissioned Outreach Pipeline</x:v>
      </x:c>
      <x:c r="H1" s="25" t="str">
        <x:v>Permissioned Outreach Pipeline</x:v>
      </x:c>
      <x:c r="I1" s="25" t="str">
        <x:v>Permissioned Outreach Pipeline</x:v>
      </x:c>
      <x:c r="J1" s="25" t="str">
        <x:v>Permissioned Outreach Pipeline</x:v>
      </x:c>
      <x:c r="K1" s="25" t="str">
        <x:v>Permissioned Outreach Pipeline</x:v>
      </x:c>
      <x:c r="L1" s="25" t="str">
        <x:v>Permissioned Outreach Pipeline</x:v>
      </x:c>
      <x:c r="M1" s="25" t="str">
        <x:v>Permissioned Outreach Pipeline</x:v>
      </x:c>
      <x:c r="N1" s="25" t="str">
        <x:v>Permissioned Outreach Pipeline</x:v>
      </x:c>
      <x:c r="O1" s="25" t="str">
        <x:v>Permissioned Outreach Pipeline</x:v>
      </x:c>
      <x:c r="P1" s="25" t="str">
        <x:v>Permissioned Outreach Pipeline</x:v>
      </x:c>
      <x:c r="Q1" s="25" t="str">
        <x:v>Permissioned Outreach Pipeline</x:v>
      </x:c>
      <x:c r="R1" s="25" t="str">
        <x:v>Permissioned Outreach Pipeline</x:v>
      </x:c>
      <x:c r="S1" s="25" t="str">
        <x:v>Permissioned Outreach Pipeline</x:v>
      </x:c>
    </x:row>
    <x:row r="2" ht="34" customHeight="1">
      <x:c r="A2" s="26" t="str">
        <x:v>Nur Personen mit dokumentierter Kontaktberechtigung erfassen. Keine gekauften Listen, kein Scraping, keine kalten E-Mail-/DM-Sequenzen.</x:v>
      </x:c>
      <x:c r="B2" s="26" t="str">
        <x:v>Nur Personen mit dokumentierter Kontaktberechtigung erfassen. Keine gekauften Listen, kein Scraping, keine kalten E-Mail-/DM-Sequenzen.</x:v>
      </x:c>
      <x:c r="C2" s="26" t="str">
        <x:v>Nur Personen mit dokumentierter Kontaktberechtigung erfassen. Keine gekauften Listen, kein Scraping, keine kalten E-Mail-/DM-Sequenzen.</x:v>
      </x:c>
      <x:c r="D2" s="26" t="str">
        <x:v>Nur Personen mit dokumentierter Kontaktberechtigung erfassen. Keine gekauften Listen, kein Scraping, keine kalten E-Mail-/DM-Sequenzen.</x:v>
      </x:c>
      <x:c r="E2" s="26" t="str">
        <x:v>Nur Personen mit dokumentierter Kontaktberechtigung erfassen. Keine gekauften Listen, kein Scraping, keine kalten E-Mail-/DM-Sequenzen.</x:v>
      </x:c>
      <x:c r="F2" s="26" t="str">
        <x:v>Nur Personen mit dokumentierter Kontaktberechtigung erfassen. Keine gekauften Listen, kein Scraping, keine kalten E-Mail-/DM-Sequenzen.</x:v>
      </x:c>
      <x:c r="G2" s="26" t="str">
        <x:v>Nur Personen mit dokumentierter Kontaktberechtigung erfassen. Keine gekauften Listen, kein Scraping, keine kalten E-Mail-/DM-Sequenzen.</x:v>
      </x:c>
      <x:c r="H2" s="26" t="str">
        <x:v>Nur Personen mit dokumentierter Kontaktberechtigung erfassen. Keine gekauften Listen, kein Scraping, keine kalten E-Mail-/DM-Sequenzen.</x:v>
      </x:c>
      <x:c r="I2" s="26" t="str">
        <x:v>Nur Personen mit dokumentierter Kontaktberechtigung erfassen. Keine gekauften Listen, kein Scraping, keine kalten E-Mail-/DM-Sequenzen.</x:v>
      </x:c>
      <x:c r="J2" s="26" t="str">
        <x:v>Nur Personen mit dokumentierter Kontaktberechtigung erfassen. Keine gekauften Listen, kein Scraping, keine kalten E-Mail-/DM-Sequenzen.</x:v>
      </x:c>
      <x:c r="K2" s="26" t="str">
        <x:v>Nur Personen mit dokumentierter Kontaktberechtigung erfassen. Keine gekauften Listen, kein Scraping, keine kalten E-Mail-/DM-Sequenzen.</x:v>
      </x:c>
      <x:c r="L2" s="26" t="str">
        <x:v>Nur Personen mit dokumentierter Kontaktberechtigung erfassen. Keine gekauften Listen, kein Scraping, keine kalten E-Mail-/DM-Sequenzen.</x:v>
      </x:c>
      <x:c r="M2" s="26" t="str">
        <x:v>Nur Personen mit dokumentierter Kontaktberechtigung erfassen. Keine gekauften Listen, kein Scraping, keine kalten E-Mail-/DM-Sequenzen.</x:v>
      </x:c>
      <x:c r="N2" s="26" t="str">
        <x:v>Nur Personen mit dokumentierter Kontaktberechtigung erfassen. Keine gekauften Listen, kein Scraping, keine kalten E-Mail-/DM-Sequenzen.</x:v>
      </x:c>
      <x:c r="O2" s="26" t="str">
        <x:v>Nur Personen mit dokumentierter Kontaktberechtigung erfassen. Keine gekauften Listen, kein Scraping, keine kalten E-Mail-/DM-Sequenzen.</x:v>
      </x:c>
      <x:c r="P2" s="26" t="str">
        <x:v>Nur Personen mit dokumentierter Kontaktberechtigung erfassen. Keine gekauften Listen, kein Scraping, keine kalten E-Mail-/DM-Sequenzen.</x:v>
      </x:c>
      <x:c r="Q2" s="26" t="str">
        <x:v>Nur Personen mit dokumentierter Kontaktberechtigung erfassen. Keine gekauften Listen, kein Scraping, keine kalten E-Mail-/DM-Sequenzen.</x:v>
      </x:c>
      <x:c r="R2" s="26" t="str">
        <x:v>Nur Personen mit dokumentierter Kontaktberechtigung erfassen. Keine gekauften Listen, kein Scraping, keine kalten E-Mail-/DM-Sequenzen.</x:v>
      </x:c>
      <x:c r="S2" s="26" t="str">
        <x:v>Nur Personen mit dokumentierter Kontaktberechtigung erfassen. Keine gekauften Listen, kein Scraping, keine kalten E-Mail-/DM-Sequenzen.</x:v>
      </x:c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</x:row>
    <x:row r="4" ht="38" customHeight="1">
      <x:c r="A4" s="28" t="str">
        <x:v>Account</x:v>
      </x:c>
      <x:c r="B4" s="28" t="str">
        <x:v>Segment</x:v>
      </x:c>
      <x:c r="C4" s="28" t="str">
        <x:v>Rollenklasse</x:v>
      </x:c>
      <x:c r="D4" s="28" t="str">
        <x:v>Geschäftliche Rolle</x:v>
      </x:c>
      <x:c r="E4" s="28" t="str">
        <x:v>Permission Source</x:v>
      </x:c>
      <x:c r="F4" s="28" t="str">
        <x:v>Permission Datum</x:v>
      </x:c>
      <x:c r="G4" s="28" t="str">
        <x:v>Zweck erlaubt</x:v>
      </x:c>
      <x:c r="H4" s="28" t="str">
        <x:v>Kanal</x:v>
      </x:c>
      <x:c r="I4" s="28" t="str">
        <x:v>Legal Review</x:v>
      </x:c>
      <x:c r="J4" s="28" t="str">
        <x:v>Stage</x:v>
      </x:c>
      <x:c r="K4" s="28" t="str">
        <x:v>Stage Datum</x:v>
      </x:c>
      <x:c r="L4" s="28" t="str">
        <x:v>Status</x:v>
      </x:c>
      <x:c r="M4" s="28" t="str">
        <x:v>Next Action</x:v>
      </x:c>
      <x:c r="N4" s="28" t="str">
        <x:v>Next Date</x:v>
      </x:c>
      <x:c r="O4" s="28" t="str">
        <x:v>Opt-out</x:v>
      </x:c>
      <x:c r="P4" s="28" t="str">
        <x:v>Evidence IDs</x:v>
      </x:c>
      <x:c r="Q4" s="28" t="str">
        <x:v>Lost Reason</x:v>
      </x:c>
      <x:c r="R4" s="28" t="str">
        <x:v>Notiz</x:v>
      </x:c>
      <x:c r="S4" s="28" t="str">
        <x:v>Stage Rank</x:v>
      </x:c>
    </x:row>
    <x:row r="5">
      <x:c r="A5" s="31"/>
      <x:c r="B5" s="31"/>
      <x:c r="C5" s="31"/>
      <x:c r="D5" s="31"/>
      <x:c r="E5" s="31"/>
      <x:c r="F5" s="32"/>
      <x:c r="G5" s="31"/>
      <x:c r="H5" s="31"/>
      <x:c r="I5" s="31"/>
      <x:c r="J5" s="31"/>
      <x:c r="K5" s="32"/>
      <x:c r="L5" s="31"/>
      <x:c r="M5" s="31"/>
      <x:c r="N5" s="32"/>
      <x:c r="O5" s="31"/>
      <x:c r="P5" s="31"/>
      <x:c r="Q5" s="31"/>
      <x:c r="R5" s="31"/>
      <x:c r="S5" s="33" t="n">
        <x:f>IF(LEFT(J5,1)="S",VALUE(MID(J5,2,1)),-1)</x:f>
        <x:v>-1</x:v>
      </x:c>
    </x:row>
    <x:row r="6">
      <x:c r="A6" s="31"/>
      <x:c r="B6" s="31"/>
      <x:c r="C6" s="31"/>
      <x:c r="D6" s="31"/>
      <x:c r="E6" s="31"/>
      <x:c r="F6" s="32"/>
      <x:c r="G6" s="31"/>
      <x:c r="H6" s="31"/>
      <x:c r="I6" s="31"/>
      <x:c r="J6" s="31"/>
      <x:c r="K6" s="32"/>
      <x:c r="L6" s="31"/>
      <x:c r="M6" s="31"/>
      <x:c r="N6" s="32"/>
      <x:c r="O6" s="31"/>
      <x:c r="P6" s="31"/>
      <x:c r="Q6" s="31"/>
      <x:c r="R6" s="31"/>
      <x:c r="S6" s="33" t="n">
        <x:f>IF(LEFT(J6,1)="S",VALUE(MID(J6,2,1)),-1)</x:f>
        <x:v>-1</x:v>
      </x:c>
    </x:row>
    <x:row r="7">
      <x:c r="A7" s="31"/>
      <x:c r="B7" s="31"/>
      <x:c r="C7" s="31"/>
      <x:c r="D7" s="31"/>
      <x:c r="E7" s="31"/>
      <x:c r="F7" s="32"/>
      <x:c r="G7" s="31"/>
      <x:c r="H7" s="31"/>
      <x:c r="I7" s="31"/>
      <x:c r="J7" s="31"/>
      <x:c r="K7" s="32"/>
      <x:c r="L7" s="31"/>
      <x:c r="M7" s="31"/>
      <x:c r="N7" s="32"/>
      <x:c r="O7" s="31"/>
      <x:c r="P7" s="31"/>
      <x:c r="Q7" s="31"/>
      <x:c r="R7" s="31"/>
      <x:c r="S7" s="33" t="n">
        <x:f>IF(LEFT(J7,1)="S",VALUE(MID(J7,2,1)),-1)</x:f>
        <x:v>-1</x:v>
      </x:c>
    </x:row>
    <x:row r="8">
      <x:c r="A8" s="31"/>
      <x:c r="B8" s="31"/>
      <x:c r="C8" s="31"/>
      <x:c r="D8" s="31"/>
      <x:c r="E8" s="31"/>
      <x:c r="F8" s="32"/>
      <x:c r="G8" s="31"/>
      <x:c r="H8" s="31"/>
      <x:c r="I8" s="31"/>
      <x:c r="J8" s="31"/>
      <x:c r="K8" s="32"/>
      <x:c r="L8" s="31"/>
      <x:c r="M8" s="31"/>
      <x:c r="N8" s="32"/>
      <x:c r="O8" s="31"/>
      <x:c r="P8" s="31"/>
      <x:c r="Q8" s="31"/>
      <x:c r="R8" s="31"/>
      <x:c r="S8" s="33" t="n">
        <x:f>IF(LEFT(J8,1)="S",VALUE(MID(J8,2,1)),-1)</x:f>
        <x:v>-1</x:v>
      </x:c>
    </x:row>
    <x:row r="9">
      <x:c r="A9" s="31"/>
      <x:c r="B9" s="31"/>
      <x:c r="C9" s="31"/>
      <x:c r="D9" s="31"/>
      <x:c r="E9" s="31"/>
      <x:c r="F9" s="32"/>
      <x:c r="G9" s="31"/>
      <x:c r="H9" s="31"/>
      <x:c r="I9" s="31"/>
      <x:c r="J9" s="31"/>
      <x:c r="K9" s="32"/>
      <x:c r="L9" s="31"/>
      <x:c r="M9" s="31"/>
      <x:c r="N9" s="32"/>
      <x:c r="O9" s="31"/>
      <x:c r="P9" s="31"/>
      <x:c r="Q9" s="31"/>
      <x:c r="R9" s="31"/>
      <x:c r="S9" s="33" t="n">
        <x:f>IF(LEFT(J9,1)="S",VALUE(MID(J9,2,1)),-1)</x:f>
        <x:v>-1</x:v>
      </x:c>
    </x:row>
    <x:row r="10">
      <x:c r="A10" s="31"/>
      <x:c r="B10" s="31"/>
      <x:c r="C10" s="31"/>
      <x:c r="D10" s="31"/>
      <x:c r="E10" s="31"/>
      <x:c r="F10" s="32"/>
      <x:c r="G10" s="31"/>
      <x:c r="H10" s="31"/>
      <x:c r="I10" s="31"/>
      <x:c r="J10" s="31"/>
      <x:c r="K10" s="32"/>
      <x:c r="L10" s="31"/>
      <x:c r="M10" s="31"/>
      <x:c r="N10" s="32"/>
      <x:c r="O10" s="31"/>
      <x:c r="P10" s="31"/>
      <x:c r="Q10" s="31"/>
      <x:c r="R10" s="31"/>
      <x:c r="S10" s="33" t="n">
        <x:f>IF(LEFT(J10,1)="S",VALUE(MID(J10,2,1)),-1)</x:f>
        <x:v>-1</x:v>
      </x:c>
    </x:row>
    <x:row r="11">
      <x:c r="A11" s="31"/>
      <x:c r="B11" s="31"/>
      <x:c r="C11" s="31"/>
      <x:c r="D11" s="31"/>
      <x:c r="E11" s="31"/>
      <x:c r="F11" s="32"/>
      <x:c r="G11" s="31"/>
      <x:c r="H11" s="31"/>
      <x:c r="I11" s="31"/>
      <x:c r="J11" s="31"/>
      <x:c r="K11" s="32"/>
      <x:c r="L11" s="31"/>
      <x:c r="M11" s="31"/>
      <x:c r="N11" s="32"/>
      <x:c r="O11" s="31"/>
      <x:c r="P11" s="31"/>
      <x:c r="Q11" s="31"/>
      <x:c r="R11" s="31"/>
      <x:c r="S11" s="33" t="n">
        <x:f>IF(LEFT(J11,1)="S",VALUE(MID(J11,2,1)),-1)</x:f>
        <x:v>-1</x:v>
      </x:c>
    </x:row>
    <x:row r="12">
      <x:c r="A12" s="31"/>
      <x:c r="B12" s="31"/>
      <x:c r="C12" s="31"/>
      <x:c r="D12" s="31"/>
      <x:c r="E12" s="31"/>
      <x:c r="F12" s="32"/>
      <x:c r="G12" s="31"/>
      <x:c r="H12" s="31"/>
      <x:c r="I12" s="31"/>
      <x:c r="J12" s="31"/>
      <x:c r="K12" s="32"/>
      <x:c r="L12" s="31"/>
      <x:c r="M12" s="31"/>
      <x:c r="N12" s="32"/>
      <x:c r="O12" s="31"/>
      <x:c r="P12" s="31"/>
      <x:c r="Q12" s="31"/>
      <x:c r="R12" s="31"/>
      <x:c r="S12" s="33" t="n">
        <x:f>IF(LEFT(J12,1)="S",VALUE(MID(J12,2,1)),-1)</x:f>
        <x:v>-1</x:v>
      </x:c>
    </x:row>
    <x:row r="13">
      <x:c r="A13" s="31"/>
      <x:c r="B13" s="31"/>
      <x:c r="C13" s="31"/>
      <x:c r="D13" s="31"/>
      <x:c r="E13" s="31"/>
      <x:c r="F13" s="32"/>
      <x:c r="G13" s="31"/>
      <x:c r="H13" s="31"/>
      <x:c r="I13" s="31"/>
      <x:c r="J13" s="31"/>
      <x:c r="K13" s="32"/>
      <x:c r="L13" s="31"/>
      <x:c r="M13" s="31"/>
      <x:c r="N13" s="32"/>
      <x:c r="O13" s="31"/>
      <x:c r="P13" s="31"/>
      <x:c r="Q13" s="31"/>
      <x:c r="R13" s="31"/>
      <x:c r="S13" s="33" t="n">
        <x:f>IF(LEFT(J13,1)="S",VALUE(MID(J13,2,1)),-1)</x:f>
        <x:v>-1</x:v>
      </x:c>
    </x:row>
    <x:row r="14">
      <x:c r="A14" s="31"/>
      <x:c r="B14" s="31"/>
      <x:c r="C14" s="31"/>
      <x:c r="D14" s="31"/>
      <x:c r="E14" s="31"/>
      <x:c r="F14" s="32"/>
      <x:c r="G14" s="31"/>
      <x:c r="H14" s="31"/>
      <x:c r="I14" s="31"/>
      <x:c r="J14" s="31"/>
      <x:c r="K14" s="32"/>
      <x:c r="L14" s="31"/>
      <x:c r="M14" s="31"/>
      <x:c r="N14" s="32"/>
      <x:c r="O14" s="31"/>
      <x:c r="P14" s="31"/>
      <x:c r="Q14" s="31"/>
      <x:c r="R14" s="31"/>
      <x:c r="S14" s="33" t="n">
        <x:f>IF(LEFT(J14,1)="S",VALUE(MID(J14,2,1)),-1)</x:f>
        <x:v>-1</x:v>
      </x:c>
    </x:row>
    <x:row r="15">
      <x:c r="A15" s="31"/>
      <x:c r="B15" s="31"/>
      <x:c r="C15" s="31"/>
      <x:c r="D15" s="31"/>
      <x:c r="E15" s="31"/>
      <x:c r="F15" s="32"/>
      <x:c r="G15" s="31"/>
      <x:c r="H15" s="31"/>
      <x:c r="I15" s="31"/>
      <x:c r="J15" s="31"/>
      <x:c r="K15" s="32"/>
      <x:c r="L15" s="31"/>
      <x:c r="M15" s="31"/>
      <x:c r="N15" s="32"/>
      <x:c r="O15" s="31"/>
      <x:c r="P15" s="31"/>
      <x:c r="Q15" s="31"/>
      <x:c r="R15" s="31"/>
      <x:c r="S15" s="33" t="n">
        <x:f>IF(LEFT(J15,1)="S",VALUE(MID(J15,2,1)),-1)</x:f>
        <x:v>-1</x:v>
      </x:c>
    </x:row>
    <x:row r="16">
      <x:c r="A16" s="31"/>
      <x:c r="B16" s="31"/>
      <x:c r="C16" s="31"/>
      <x:c r="D16" s="31"/>
      <x:c r="E16" s="31"/>
      <x:c r="F16" s="32"/>
      <x:c r="G16" s="31"/>
      <x:c r="H16" s="31"/>
      <x:c r="I16" s="31"/>
      <x:c r="J16" s="31"/>
      <x:c r="K16" s="32"/>
      <x:c r="L16" s="31"/>
      <x:c r="M16" s="31"/>
      <x:c r="N16" s="32"/>
      <x:c r="O16" s="31"/>
      <x:c r="P16" s="31"/>
      <x:c r="Q16" s="31"/>
      <x:c r="R16" s="31"/>
      <x:c r="S16" s="33" t="n">
        <x:f>IF(LEFT(J16,1)="S",VALUE(MID(J16,2,1)),-1)</x:f>
        <x:v>-1</x:v>
      </x:c>
    </x:row>
    <x:row r="17">
      <x:c r="A17" s="31"/>
      <x:c r="B17" s="31"/>
      <x:c r="C17" s="31"/>
      <x:c r="D17" s="31"/>
      <x:c r="E17" s="31"/>
      <x:c r="F17" s="32"/>
      <x:c r="G17" s="31"/>
      <x:c r="H17" s="31"/>
      <x:c r="I17" s="31"/>
      <x:c r="J17" s="31"/>
      <x:c r="K17" s="32"/>
      <x:c r="L17" s="31"/>
      <x:c r="M17" s="31"/>
      <x:c r="N17" s="32"/>
      <x:c r="O17" s="31"/>
      <x:c r="P17" s="31"/>
      <x:c r="Q17" s="31"/>
      <x:c r="R17" s="31"/>
      <x:c r="S17" s="33" t="n">
        <x:f>IF(LEFT(J17,1)="S",VALUE(MID(J17,2,1)),-1)</x:f>
        <x:v>-1</x:v>
      </x:c>
    </x:row>
    <x:row r="18">
      <x:c r="A18" s="31"/>
      <x:c r="B18" s="31"/>
      <x:c r="C18" s="31"/>
      <x:c r="D18" s="31"/>
      <x:c r="E18" s="31"/>
      <x:c r="F18" s="32"/>
      <x:c r="G18" s="31"/>
      <x:c r="H18" s="31"/>
      <x:c r="I18" s="31"/>
      <x:c r="J18" s="31"/>
      <x:c r="K18" s="32"/>
      <x:c r="L18" s="31"/>
      <x:c r="M18" s="31"/>
      <x:c r="N18" s="32"/>
      <x:c r="O18" s="31"/>
      <x:c r="P18" s="31"/>
      <x:c r="Q18" s="31"/>
      <x:c r="R18" s="31"/>
      <x:c r="S18" s="33" t="n">
        <x:f>IF(LEFT(J18,1)="S",VALUE(MID(J18,2,1)),-1)</x:f>
        <x:v>-1</x:v>
      </x:c>
    </x:row>
    <x:row r="19">
      <x:c r="A19" s="31"/>
      <x:c r="B19" s="31"/>
      <x:c r="C19" s="31"/>
      <x:c r="D19" s="31"/>
      <x:c r="E19" s="31"/>
      <x:c r="F19" s="32"/>
      <x:c r="G19" s="31"/>
      <x:c r="H19" s="31"/>
      <x:c r="I19" s="31"/>
      <x:c r="J19" s="31"/>
      <x:c r="K19" s="32"/>
      <x:c r="L19" s="31"/>
      <x:c r="M19" s="31"/>
      <x:c r="N19" s="32"/>
      <x:c r="O19" s="31"/>
      <x:c r="P19" s="31"/>
      <x:c r="Q19" s="31"/>
      <x:c r="R19" s="31"/>
      <x:c r="S19" s="33" t="n">
        <x:f>IF(LEFT(J19,1)="S",VALUE(MID(J19,2,1)),-1)</x:f>
        <x:v>-1</x:v>
      </x:c>
    </x:row>
    <x:row r="20">
      <x:c r="A20" s="31"/>
      <x:c r="B20" s="31"/>
      <x:c r="C20" s="31"/>
      <x:c r="D20" s="31"/>
      <x:c r="E20" s="31"/>
      <x:c r="F20" s="32"/>
      <x:c r="G20" s="31"/>
      <x:c r="H20" s="31"/>
      <x:c r="I20" s="31"/>
      <x:c r="J20" s="31"/>
      <x:c r="K20" s="32"/>
      <x:c r="L20" s="31"/>
      <x:c r="M20" s="31"/>
      <x:c r="N20" s="32"/>
      <x:c r="O20" s="31"/>
      <x:c r="P20" s="31"/>
      <x:c r="Q20" s="31"/>
      <x:c r="R20" s="31"/>
      <x:c r="S20" s="33" t="n">
        <x:f>IF(LEFT(J20,1)="S",VALUE(MID(J20,2,1)),-1)</x:f>
        <x:v>-1</x:v>
      </x:c>
    </x:row>
    <x:row r="21">
      <x:c r="A21" s="31"/>
      <x:c r="B21" s="31"/>
      <x:c r="C21" s="31"/>
      <x:c r="D21" s="31"/>
      <x:c r="E21" s="31"/>
      <x:c r="F21" s="32"/>
      <x:c r="G21" s="31"/>
      <x:c r="H21" s="31"/>
      <x:c r="I21" s="31"/>
      <x:c r="J21" s="31"/>
      <x:c r="K21" s="32"/>
      <x:c r="L21" s="31"/>
      <x:c r="M21" s="31"/>
      <x:c r="N21" s="32"/>
      <x:c r="O21" s="31"/>
      <x:c r="P21" s="31"/>
      <x:c r="Q21" s="31"/>
      <x:c r="R21" s="31"/>
      <x:c r="S21" s="33" t="n">
        <x:f>IF(LEFT(J21,1)="S",VALUE(MID(J21,2,1)),-1)</x:f>
        <x:v>-1</x:v>
      </x:c>
    </x:row>
    <x:row r="22">
      <x:c r="A22" s="31"/>
      <x:c r="B22" s="31"/>
      <x:c r="C22" s="31"/>
      <x:c r="D22" s="31"/>
      <x:c r="E22" s="31"/>
      <x:c r="F22" s="32"/>
      <x:c r="G22" s="31"/>
      <x:c r="H22" s="31"/>
      <x:c r="I22" s="31"/>
      <x:c r="J22" s="31"/>
      <x:c r="K22" s="32"/>
      <x:c r="L22" s="31"/>
      <x:c r="M22" s="31"/>
      <x:c r="N22" s="32"/>
      <x:c r="O22" s="31"/>
      <x:c r="P22" s="31"/>
      <x:c r="Q22" s="31"/>
      <x:c r="R22" s="31"/>
      <x:c r="S22" s="33" t="n">
        <x:f>IF(LEFT(J22,1)="S",VALUE(MID(J22,2,1)),-1)</x:f>
        <x:v>-1</x:v>
      </x:c>
    </x:row>
    <x:row r="23">
      <x:c r="A23" s="31"/>
      <x:c r="B23" s="31"/>
      <x:c r="C23" s="31"/>
      <x:c r="D23" s="31"/>
      <x:c r="E23" s="31"/>
      <x:c r="F23" s="32"/>
      <x:c r="G23" s="31"/>
      <x:c r="H23" s="31"/>
      <x:c r="I23" s="31"/>
      <x:c r="J23" s="31"/>
      <x:c r="K23" s="32"/>
      <x:c r="L23" s="31"/>
      <x:c r="M23" s="31"/>
      <x:c r="N23" s="32"/>
      <x:c r="O23" s="31"/>
      <x:c r="P23" s="31"/>
      <x:c r="Q23" s="31"/>
      <x:c r="R23" s="31"/>
      <x:c r="S23" s="33" t="n">
        <x:f>IF(LEFT(J23,1)="S",VALUE(MID(J23,2,1)),-1)</x:f>
        <x:v>-1</x:v>
      </x:c>
    </x:row>
    <x:row r="24">
      <x:c r="A24" s="31"/>
      <x:c r="B24" s="31"/>
      <x:c r="C24" s="31"/>
      <x:c r="D24" s="31"/>
      <x:c r="E24" s="31"/>
      <x:c r="F24" s="32"/>
      <x:c r="G24" s="31"/>
      <x:c r="H24" s="31"/>
      <x:c r="I24" s="31"/>
      <x:c r="J24" s="31"/>
      <x:c r="K24" s="32"/>
      <x:c r="L24" s="31"/>
      <x:c r="M24" s="31"/>
      <x:c r="N24" s="32"/>
      <x:c r="O24" s="31"/>
      <x:c r="P24" s="31"/>
      <x:c r="Q24" s="31"/>
      <x:c r="R24" s="31"/>
      <x:c r="S24" s="33" t="n">
        <x:f>IF(LEFT(J24,1)="S",VALUE(MID(J24,2,1)),-1)</x:f>
        <x:v>-1</x:v>
      </x:c>
    </x:row>
    <x:row r="25">
      <x:c r="A25" s="31"/>
      <x:c r="B25" s="31"/>
      <x:c r="C25" s="31"/>
      <x:c r="D25" s="31"/>
      <x:c r="E25" s="31"/>
      <x:c r="F25" s="32"/>
      <x:c r="G25" s="31"/>
      <x:c r="H25" s="31"/>
      <x:c r="I25" s="31"/>
      <x:c r="J25" s="31"/>
      <x:c r="K25" s="32"/>
      <x:c r="L25" s="31"/>
      <x:c r="M25" s="31"/>
      <x:c r="N25" s="32"/>
      <x:c r="O25" s="31"/>
      <x:c r="P25" s="31"/>
      <x:c r="Q25" s="31"/>
      <x:c r="R25" s="31"/>
      <x:c r="S25" s="33" t="n">
        <x:f>IF(LEFT(J25,1)="S",VALUE(MID(J25,2,1)),-1)</x:f>
        <x:v>-1</x:v>
      </x:c>
    </x:row>
    <x:row r="26">
      <x:c r="A26" s="31"/>
      <x:c r="B26" s="31"/>
      <x:c r="C26" s="31"/>
      <x:c r="D26" s="31"/>
      <x:c r="E26" s="31"/>
      <x:c r="F26" s="32"/>
      <x:c r="G26" s="31"/>
      <x:c r="H26" s="31"/>
      <x:c r="I26" s="31"/>
      <x:c r="J26" s="31"/>
      <x:c r="K26" s="32"/>
      <x:c r="L26" s="31"/>
      <x:c r="M26" s="31"/>
      <x:c r="N26" s="32"/>
      <x:c r="O26" s="31"/>
      <x:c r="P26" s="31"/>
      <x:c r="Q26" s="31"/>
      <x:c r="R26" s="31"/>
      <x:c r="S26" s="33" t="n">
        <x:f>IF(LEFT(J26,1)="S",VALUE(MID(J26,2,1)),-1)</x:f>
        <x:v>-1</x:v>
      </x:c>
    </x:row>
    <x:row r="27">
      <x:c r="A27" s="31"/>
      <x:c r="B27" s="31"/>
      <x:c r="C27" s="31"/>
      <x:c r="D27" s="31"/>
      <x:c r="E27" s="31"/>
      <x:c r="F27" s="32"/>
      <x:c r="G27" s="31"/>
      <x:c r="H27" s="31"/>
      <x:c r="I27" s="31"/>
      <x:c r="J27" s="31"/>
      <x:c r="K27" s="32"/>
      <x:c r="L27" s="31"/>
      <x:c r="M27" s="31"/>
      <x:c r="N27" s="32"/>
      <x:c r="O27" s="31"/>
      <x:c r="P27" s="31"/>
      <x:c r="Q27" s="31"/>
      <x:c r="R27" s="31"/>
      <x:c r="S27" s="33" t="n">
        <x:f>IF(LEFT(J27,1)="S",VALUE(MID(J27,2,1)),-1)</x:f>
        <x:v>-1</x:v>
      </x:c>
    </x:row>
    <x:row r="28">
      <x:c r="A28" s="31"/>
      <x:c r="B28" s="31"/>
      <x:c r="C28" s="31"/>
      <x:c r="D28" s="31"/>
      <x:c r="E28" s="31"/>
      <x:c r="F28" s="32"/>
      <x:c r="G28" s="31"/>
      <x:c r="H28" s="31"/>
      <x:c r="I28" s="31"/>
      <x:c r="J28" s="31"/>
      <x:c r="K28" s="32"/>
      <x:c r="L28" s="31"/>
      <x:c r="M28" s="31"/>
      <x:c r="N28" s="32"/>
      <x:c r="O28" s="31"/>
      <x:c r="P28" s="31"/>
      <x:c r="Q28" s="31"/>
      <x:c r="R28" s="31"/>
      <x:c r="S28" s="33" t="n">
        <x:f>IF(LEFT(J28,1)="S",VALUE(MID(J28,2,1)),-1)</x:f>
        <x:v>-1</x:v>
      </x:c>
    </x:row>
    <x:row r="29">
      <x:c r="A29" s="31"/>
      <x:c r="B29" s="31"/>
      <x:c r="C29" s="31"/>
      <x:c r="D29" s="31"/>
      <x:c r="E29" s="31"/>
      <x:c r="F29" s="32"/>
      <x:c r="G29" s="31"/>
      <x:c r="H29" s="31"/>
      <x:c r="I29" s="31"/>
      <x:c r="J29" s="31"/>
      <x:c r="K29" s="32"/>
      <x:c r="L29" s="31"/>
      <x:c r="M29" s="31"/>
      <x:c r="N29" s="32"/>
      <x:c r="O29" s="31"/>
      <x:c r="P29" s="31"/>
      <x:c r="Q29" s="31"/>
      <x:c r="R29" s="31"/>
      <x:c r="S29" s="33" t="n">
        <x:f>IF(LEFT(J29,1)="S",VALUE(MID(J29,2,1)),-1)</x:f>
        <x:v>-1</x:v>
      </x:c>
    </x:row>
    <x:row r="30">
      <x:c r="A30" s="31"/>
      <x:c r="B30" s="31"/>
      <x:c r="C30" s="31"/>
      <x:c r="D30" s="31"/>
      <x:c r="E30" s="31"/>
      <x:c r="F30" s="32"/>
      <x:c r="G30" s="31"/>
      <x:c r="H30" s="31"/>
      <x:c r="I30" s="31"/>
      <x:c r="J30" s="31"/>
      <x:c r="K30" s="32"/>
      <x:c r="L30" s="31"/>
      <x:c r="M30" s="31"/>
      <x:c r="N30" s="32"/>
      <x:c r="O30" s="31"/>
      <x:c r="P30" s="31"/>
      <x:c r="Q30" s="31"/>
      <x:c r="R30" s="31"/>
      <x:c r="S30" s="33" t="n">
        <x:f>IF(LEFT(J30,1)="S",VALUE(MID(J30,2,1)),-1)</x:f>
        <x:v>-1</x:v>
      </x:c>
    </x:row>
    <x:row r="31">
      <x:c r="A31" s="31"/>
      <x:c r="B31" s="31"/>
      <x:c r="C31" s="31"/>
      <x:c r="D31" s="31"/>
      <x:c r="E31" s="31"/>
      <x:c r="F31" s="32"/>
      <x:c r="G31" s="31"/>
      <x:c r="H31" s="31"/>
      <x:c r="I31" s="31"/>
      <x:c r="J31" s="31"/>
      <x:c r="K31" s="32"/>
      <x:c r="L31" s="31"/>
      <x:c r="M31" s="31"/>
      <x:c r="N31" s="32"/>
      <x:c r="O31" s="31"/>
      <x:c r="P31" s="31"/>
      <x:c r="Q31" s="31"/>
      <x:c r="R31" s="31"/>
      <x:c r="S31" s="33" t="n">
        <x:f>IF(LEFT(J31,1)="S",VALUE(MID(J31,2,1)),-1)</x:f>
        <x:v>-1</x:v>
      </x:c>
    </x:row>
    <x:row r="32">
      <x:c r="A32" s="31"/>
      <x:c r="B32" s="31"/>
      <x:c r="C32" s="31"/>
      <x:c r="D32" s="31"/>
      <x:c r="E32" s="31"/>
      <x:c r="F32" s="32"/>
      <x:c r="G32" s="31"/>
      <x:c r="H32" s="31"/>
      <x:c r="I32" s="31"/>
      <x:c r="J32" s="31"/>
      <x:c r="K32" s="32"/>
      <x:c r="L32" s="31"/>
      <x:c r="M32" s="31"/>
      <x:c r="N32" s="32"/>
      <x:c r="O32" s="31"/>
      <x:c r="P32" s="31"/>
      <x:c r="Q32" s="31"/>
      <x:c r="R32" s="31"/>
      <x:c r="S32" s="33" t="n">
        <x:f>IF(LEFT(J32,1)="S",VALUE(MID(J32,2,1)),-1)</x:f>
        <x:v>-1</x:v>
      </x:c>
    </x:row>
    <x:row r="33">
      <x:c r="A33" s="31"/>
      <x:c r="B33" s="31"/>
      <x:c r="C33" s="31"/>
      <x:c r="D33" s="31"/>
      <x:c r="E33" s="31"/>
      <x:c r="F33" s="32"/>
      <x:c r="G33" s="31"/>
      <x:c r="H33" s="31"/>
      <x:c r="I33" s="31"/>
      <x:c r="J33" s="31"/>
      <x:c r="K33" s="32"/>
      <x:c r="L33" s="31"/>
      <x:c r="M33" s="31"/>
      <x:c r="N33" s="32"/>
      <x:c r="O33" s="31"/>
      <x:c r="P33" s="31"/>
      <x:c r="Q33" s="31"/>
      <x:c r="R33" s="31"/>
      <x:c r="S33" s="33" t="n">
        <x:f>IF(LEFT(J33,1)="S",VALUE(MID(J33,2,1)),-1)</x:f>
        <x:v>-1</x:v>
      </x:c>
    </x:row>
    <x:row r="34">
      <x:c r="A34" s="31"/>
      <x:c r="B34" s="31"/>
      <x:c r="C34" s="31"/>
      <x:c r="D34" s="31"/>
      <x:c r="E34" s="31"/>
      <x:c r="F34" s="32"/>
      <x:c r="G34" s="31"/>
      <x:c r="H34" s="31"/>
      <x:c r="I34" s="31"/>
      <x:c r="J34" s="31"/>
      <x:c r="K34" s="32"/>
      <x:c r="L34" s="31"/>
      <x:c r="M34" s="31"/>
      <x:c r="N34" s="32"/>
      <x:c r="O34" s="31"/>
      <x:c r="P34" s="31"/>
      <x:c r="Q34" s="31"/>
      <x:c r="R34" s="31"/>
      <x:c r="S34" s="33" t="n">
        <x:f>IF(LEFT(J34,1)="S",VALUE(MID(J34,2,1)),-1)</x:f>
        <x:v>-1</x:v>
      </x:c>
    </x:row>
    <x:row r="35">
      <x:c r="A35" s="31"/>
      <x:c r="B35" s="31"/>
      <x:c r="C35" s="31"/>
      <x:c r="D35" s="31"/>
      <x:c r="E35" s="31"/>
      <x:c r="F35" s="32"/>
      <x:c r="G35" s="31"/>
      <x:c r="H35" s="31"/>
      <x:c r="I35" s="31"/>
      <x:c r="J35" s="31"/>
      <x:c r="K35" s="32"/>
      <x:c r="L35" s="31"/>
      <x:c r="M35" s="31"/>
      <x:c r="N35" s="32"/>
      <x:c r="O35" s="31"/>
      <x:c r="P35" s="31"/>
      <x:c r="Q35" s="31"/>
      <x:c r="R35" s="31"/>
      <x:c r="S35" s="33" t="n">
        <x:f>IF(LEFT(J35,1)="S",VALUE(MID(J35,2,1)),-1)</x:f>
        <x:v>-1</x:v>
      </x:c>
    </x:row>
    <x:row r="36">
      <x:c r="A36" s="31"/>
      <x:c r="B36" s="31"/>
      <x:c r="C36" s="31"/>
      <x:c r="D36" s="31"/>
      <x:c r="E36" s="31"/>
      <x:c r="F36" s="32"/>
      <x:c r="G36" s="31"/>
      <x:c r="H36" s="31"/>
      <x:c r="I36" s="31"/>
      <x:c r="J36" s="31"/>
      <x:c r="K36" s="32"/>
      <x:c r="L36" s="31"/>
      <x:c r="M36" s="31"/>
      <x:c r="N36" s="32"/>
      <x:c r="O36" s="31"/>
      <x:c r="P36" s="31"/>
      <x:c r="Q36" s="31"/>
      <x:c r="R36" s="31"/>
      <x:c r="S36" s="33" t="n">
        <x:f>IF(LEFT(J36,1)="S",VALUE(MID(J36,2,1)),-1)</x:f>
        <x:v>-1</x:v>
      </x:c>
    </x:row>
    <x:row r="37">
      <x:c r="A37" s="31"/>
      <x:c r="B37" s="31"/>
      <x:c r="C37" s="31"/>
      <x:c r="D37" s="31"/>
      <x:c r="E37" s="31"/>
      <x:c r="F37" s="32"/>
      <x:c r="G37" s="31"/>
      <x:c r="H37" s="31"/>
      <x:c r="I37" s="31"/>
      <x:c r="J37" s="31"/>
      <x:c r="K37" s="32"/>
      <x:c r="L37" s="31"/>
      <x:c r="M37" s="31"/>
      <x:c r="N37" s="32"/>
      <x:c r="O37" s="31"/>
      <x:c r="P37" s="31"/>
      <x:c r="Q37" s="31"/>
      <x:c r="R37" s="31"/>
      <x:c r="S37" s="33" t="n">
        <x:f>IF(LEFT(J37,1)="S",VALUE(MID(J37,2,1)),-1)</x:f>
        <x:v>-1</x:v>
      </x:c>
    </x:row>
    <x:row r="38">
      <x:c r="A38" s="31"/>
      <x:c r="B38" s="31"/>
      <x:c r="C38" s="31"/>
      <x:c r="D38" s="31"/>
      <x:c r="E38" s="31"/>
      <x:c r="F38" s="32"/>
      <x:c r="G38" s="31"/>
      <x:c r="H38" s="31"/>
      <x:c r="I38" s="31"/>
      <x:c r="J38" s="31"/>
      <x:c r="K38" s="32"/>
      <x:c r="L38" s="31"/>
      <x:c r="M38" s="31"/>
      <x:c r="N38" s="32"/>
      <x:c r="O38" s="31"/>
      <x:c r="P38" s="31"/>
      <x:c r="Q38" s="31"/>
      <x:c r="R38" s="31"/>
      <x:c r="S38" s="33" t="n">
        <x:f>IF(LEFT(J38,1)="S",VALUE(MID(J38,2,1)),-1)</x:f>
        <x:v>-1</x:v>
      </x:c>
    </x:row>
    <x:row r="39">
      <x:c r="A39" s="31"/>
      <x:c r="B39" s="31"/>
      <x:c r="C39" s="31"/>
      <x:c r="D39" s="31"/>
      <x:c r="E39" s="31"/>
      <x:c r="F39" s="32"/>
      <x:c r="G39" s="31"/>
      <x:c r="H39" s="31"/>
      <x:c r="I39" s="31"/>
      <x:c r="J39" s="31"/>
      <x:c r="K39" s="32"/>
      <x:c r="L39" s="31"/>
      <x:c r="M39" s="31"/>
      <x:c r="N39" s="32"/>
      <x:c r="O39" s="31"/>
      <x:c r="P39" s="31"/>
      <x:c r="Q39" s="31"/>
      <x:c r="R39" s="31"/>
      <x:c r="S39" s="33" t="n">
        <x:f>IF(LEFT(J39,1)="S",VALUE(MID(J39,2,1)),-1)</x:f>
        <x:v>-1</x:v>
      </x:c>
    </x:row>
    <x:row r="40">
      <x:c r="A40" s="31"/>
      <x:c r="B40" s="31"/>
      <x:c r="C40" s="31"/>
      <x:c r="D40" s="31"/>
      <x:c r="E40" s="31"/>
      <x:c r="F40" s="32"/>
      <x:c r="G40" s="31"/>
      <x:c r="H40" s="31"/>
      <x:c r="I40" s="31"/>
      <x:c r="J40" s="31"/>
      <x:c r="K40" s="32"/>
      <x:c r="L40" s="31"/>
      <x:c r="M40" s="31"/>
      <x:c r="N40" s="32"/>
      <x:c r="O40" s="31"/>
      <x:c r="P40" s="31"/>
      <x:c r="Q40" s="31"/>
      <x:c r="R40" s="31"/>
      <x:c r="S40" s="33" t="n">
        <x:f>IF(LEFT(J40,1)="S",VALUE(MID(J40,2,1)),-1)</x:f>
        <x:v>-1</x:v>
      </x:c>
    </x:row>
    <x:row r="41">
      <x:c r="A41" s="31"/>
      <x:c r="B41" s="31"/>
      <x:c r="C41" s="31"/>
      <x:c r="D41" s="31"/>
      <x:c r="E41" s="31"/>
      <x:c r="F41" s="32"/>
      <x:c r="G41" s="31"/>
      <x:c r="H41" s="31"/>
      <x:c r="I41" s="31"/>
      <x:c r="J41" s="31"/>
      <x:c r="K41" s="32"/>
      <x:c r="L41" s="31"/>
      <x:c r="M41" s="31"/>
      <x:c r="N41" s="32"/>
      <x:c r="O41" s="31"/>
      <x:c r="P41" s="31"/>
      <x:c r="Q41" s="31"/>
      <x:c r="R41" s="31"/>
      <x:c r="S41" s="33" t="n">
        <x:f>IF(LEFT(J41,1)="S",VALUE(MID(J41,2,1)),-1)</x:f>
        <x:v>-1</x:v>
      </x:c>
    </x:row>
    <x:row r="42">
      <x:c r="A42" s="31"/>
      <x:c r="B42" s="31"/>
      <x:c r="C42" s="31"/>
      <x:c r="D42" s="31"/>
      <x:c r="E42" s="31"/>
      <x:c r="F42" s="32"/>
      <x:c r="G42" s="31"/>
      <x:c r="H42" s="31"/>
      <x:c r="I42" s="31"/>
      <x:c r="J42" s="31"/>
      <x:c r="K42" s="32"/>
      <x:c r="L42" s="31"/>
      <x:c r="M42" s="31"/>
      <x:c r="N42" s="32"/>
      <x:c r="O42" s="31"/>
      <x:c r="P42" s="31"/>
      <x:c r="Q42" s="31"/>
      <x:c r="R42" s="31"/>
      <x:c r="S42" s="33" t="n">
        <x:f>IF(LEFT(J42,1)="S",VALUE(MID(J42,2,1)),-1)</x:f>
        <x:v>-1</x:v>
      </x:c>
    </x:row>
    <x:row r="43">
      <x:c r="A43" s="31"/>
      <x:c r="B43" s="31"/>
      <x:c r="C43" s="31"/>
      <x:c r="D43" s="31"/>
      <x:c r="E43" s="31"/>
      <x:c r="F43" s="32"/>
      <x:c r="G43" s="31"/>
      <x:c r="H43" s="31"/>
      <x:c r="I43" s="31"/>
      <x:c r="J43" s="31"/>
      <x:c r="K43" s="32"/>
      <x:c r="L43" s="31"/>
      <x:c r="M43" s="31"/>
      <x:c r="N43" s="32"/>
      <x:c r="O43" s="31"/>
      <x:c r="P43" s="31"/>
      <x:c r="Q43" s="31"/>
      <x:c r="R43" s="31"/>
      <x:c r="S43" s="33" t="n">
        <x:f>IF(LEFT(J43,1)="S",VALUE(MID(J43,2,1)),-1)</x:f>
        <x:v>-1</x:v>
      </x:c>
    </x:row>
    <x:row r="44">
      <x:c r="A44" s="31"/>
      <x:c r="B44" s="31"/>
      <x:c r="C44" s="31"/>
      <x:c r="D44" s="31"/>
      <x:c r="E44" s="31"/>
      <x:c r="F44" s="32"/>
      <x:c r="G44" s="31"/>
      <x:c r="H44" s="31"/>
      <x:c r="I44" s="31"/>
      <x:c r="J44" s="31"/>
      <x:c r="K44" s="32"/>
      <x:c r="L44" s="31"/>
      <x:c r="M44" s="31"/>
      <x:c r="N44" s="32"/>
      <x:c r="O44" s="31"/>
      <x:c r="P44" s="31"/>
      <x:c r="Q44" s="31"/>
      <x:c r="R44" s="31"/>
      <x:c r="S44" s="33" t="n">
        <x:f>IF(LEFT(J44,1)="S",VALUE(MID(J44,2,1)),-1)</x:f>
        <x:v>-1</x:v>
      </x:c>
    </x:row>
    <x:row r="45">
      <x:c r="A45" s="31"/>
      <x:c r="B45" s="31"/>
      <x:c r="C45" s="31"/>
      <x:c r="D45" s="31"/>
      <x:c r="E45" s="31"/>
      <x:c r="F45" s="32"/>
      <x:c r="G45" s="31"/>
      <x:c r="H45" s="31"/>
      <x:c r="I45" s="31"/>
      <x:c r="J45" s="31"/>
      <x:c r="K45" s="32"/>
      <x:c r="L45" s="31"/>
      <x:c r="M45" s="31"/>
      <x:c r="N45" s="32"/>
      <x:c r="O45" s="31"/>
      <x:c r="P45" s="31"/>
      <x:c r="Q45" s="31"/>
      <x:c r="R45" s="31"/>
      <x:c r="S45" s="33" t="n">
        <x:f>IF(LEFT(J45,1)="S",VALUE(MID(J45,2,1)),-1)</x:f>
        <x:v>-1</x:v>
      </x:c>
    </x:row>
    <x:row r="46">
      <x:c r="A46" s="31"/>
      <x:c r="B46" s="31"/>
      <x:c r="C46" s="31"/>
      <x:c r="D46" s="31"/>
      <x:c r="E46" s="31"/>
      <x:c r="F46" s="32"/>
      <x:c r="G46" s="31"/>
      <x:c r="H46" s="31"/>
      <x:c r="I46" s="31"/>
      <x:c r="J46" s="31"/>
      <x:c r="K46" s="32"/>
      <x:c r="L46" s="31"/>
      <x:c r="M46" s="31"/>
      <x:c r="N46" s="32"/>
      <x:c r="O46" s="31"/>
      <x:c r="P46" s="31"/>
      <x:c r="Q46" s="31"/>
      <x:c r="R46" s="31"/>
      <x:c r="S46" s="33" t="n">
        <x:f>IF(LEFT(J46,1)="S",VALUE(MID(J46,2,1)),-1)</x:f>
        <x:v>-1</x:v>
      </x:c>
    </x:row>
    <x:row r="47">
      <x:c r="A47" s="31"/>
      <x:c r="B47" s="31"/>
      <x:c r="C47" s="31"/>
      <x:c r="D47" s="31"/>
      <x:c r="E47" s="31"/>
      <x:c r="F47" s="32"/>
      <x:c r="G47" s="31"/>
      <x:c r="H47" s="31"/>
      <x:c r="I47" s="31"/>
      <x:c r="J47" s="31"/>
      <x:c r="K47" s="32"/>
      <x:c r="L47" s="31"/>
      <x:c r="M47" s="31"/>
      <x:c r="N47" s="32"/>
      <x:c r="O47" s="31"/>
      <x:c r="P47" s="31"/>
      <x:c r="Q47" s="31"/>
      <x:c r="R47" s="31"/>
      <x:c r="S47" s="33" t="n">
        <x:f>IF(LEFT(J47,1)="S",VALUE(MID(J47,2,1)),-1)</x:f>
        <x:v>-1</x:v>
      </x:c>
    </x:row>
    <x:row r="48">
      <x:c r="A48" s="31"/>
      <x:c r="B48" s="31"/>
      <x:c r="C48" s="31"/>
      <x:c r="D48" s="31"/>
      <x:c r="E48" s="31"/>
      <x:c r="F48" s="32"/>
      <x:c r="G48" s="31"/>
      <x:c r="H48" s="31"/>
      <x:c r="I48" s="31"/>
      <x:c r="J48" s="31"/>
      <x:c r="K48" s="32"/>
      <x:c r="L48" s="31"/>
      <x:c r="M48" s="31"/>
      <x:c r="N48" s="32"/>
      <x:c r="O48" s="31"/>
      <x:c r="P48" s="31"/>
      <x:c r="Q48" s="31"/>
      <x:c r="R48" s="31"/>
      <x:c r="S48" s="33" t="n">
        <x:f>IF(LEFT(J48,1)="S",VALUE(MID(J48,2,1)),-1)</x:f>
        <x:v>-1</x:v>
      </x:c>
    </x:row>
    <x:row r="49">
      <x:c r="A49" s="31"/>
      <x:c r="B49" s="31"/>
      <x:c r="C49" s="31"/>
      <x:c r="D49" s="31"/>
      <x:c r="E49" s="31"/>
      <x:c r="F49" s="32"/>
      <x:c r="G49" s="31"/>
      <x:c r="H49" s="31"/>
      <x:c r="I49" s="31"/>
      <x:c r="J49" s="31"/>
      <x:c r="K49" s="32"/>
      <x:c r="L49" s="31"/>
      <x:c r="M49" s="31"/>
      <x:c r="N49" s="32"/>
      <x:c r="O49" s="31"/>
      <x:c r="P49" s="31"/>
      <x:c r="Q49" s="31"/>
      <x:c r="R49" s="31"/>
      <x:c r="S49" s="33" t="n">
        <x:f>IF(LEFT(J49,1)="S",VALUE(MID(J49,2,1)),-1)</x:f>
        <x:v>-1</x:v>
      </x:c>
    </x:row>
    <x:row r="50">
      <x:c r="A50" s="31"/>
      <x:c r="B50" s="31"/>
      <x:c r="C50" s="31"/>
      <x:c r="D50" s="31"/>
      <x:c r="E50" s="31"/>
      <x:c r="F50" s="32"/>
      <x:c r="G50" s="31"/>
      <x:c r="H50" s="31"/>
      <x:c r="I50" s="31"/>
      <x:c r="J50" s="31"/>
      <x:c r="K50" s="32"/>
      <x:c r="L50" s="31"/>
      <x:c r="M50" s="31"/>
      <x:c r="N50" s="32"/>
      <x:c r="O50" s="31"/>
      <x:c r="P50" s="31"/>
      <x:c r="Q50" s="31"/>
      <x:c r="R50" s="31"/>
      <x:c r="S50" s="33" t="n">
        <x:f>IF(LEFT(J50,1)="S",VALUE(MID(J50,2,1)),-1)</x:f>
        <x:v>-1</x:v>
      </x:c>
    </x:row>
    <x:row r="51">
      <x:c r="A51" s="31"/>
      <x:c r="B51" s="31"/>
      <x:c r="C51" s="31"/>
      <x:c r="D51" s="31"/>
      <x:c r="E51" s="31"/>
      <x:c r="F51" s="32"/>
      <x:c r="G51" s="31"/>
      <x:c r="H51" s="31"/>
      <x:c r="I51" s="31"/>
      <x:c r="J51" s="31"/>
      <x:c r="K51" s="32"/>
      <x:c r="L51" s="31"/>
      <x:c r="M51" s="31"/>
      <x:c r="N51" s="32"/>
      <x:c r="O51" s="31"/>
      <x:c r="P51" s="31"/>
      <x:c r="Q51" s="31"/>
      <x:c r="R51" s="31"/>
      <x:c r="S51" s="33" t="n">
        <x:f>IF(LEFT(J51,1)="S",VALUE(MID(J51,2,1)),-1)</x:f>
        <x:v>-1</x:v>
      </x:c>
    </x:row>
    <x:row r="52">
      <x:c r="A52" s="31"/>
      <x:c r="B52" s="31"/>
      <x:c r="C52" s="31"/>
      <x:c r="D52" s="31"/>
      <x:c r="E52" s="31"/>
      <x:c r="F52" s="32"/>
      <x:c r="G52" s="31"/>
      <x:c r="H52" s="31"/>
      <x:c r="I52" s="31"/>
      <x:c r="J52" s="31"/>
      <x:c r="K52" s="32"/>
      <x:c r="L52" s="31"/>
      <x:c r="M52" s="31"/>
      <x:c r="N52" s="32"/>
      <x:c r="O52" s="31"/>
      <x:c r="P52" s="31"/>
      <x:c r="Q52" s="31"/>
      <x:c r="R52" s="31"/>
      <x:c r="S52" s="33" t="n">
        <x:f>IF(LEFT(J52,1)="S",VALUE(MID(J52,2,1)),-1)</x:f>
        <x:v>-1</x:v>
      </x:c>
    </x:row>
    <x:row r="53">
      <x:c r="A53" s="31"/>
      <x:c r="B53" s="31"/>
      <x:c r="C53" s="31"/>
      <x:c r="D53" s="31"/>
      <x:c r="E53" s="31"/>
      <x:c r="F53" s="32"/>
      <x:c r="G53" s="31"/>
      <x:c r="H53" s="31"/>
      <x:c r="I53" s="31"/>
      <x:c r="J53" s="31"/>
      <x:c r="K53" s="32"/>
      <x:c r="L53" s="31"/>
      <x:c r="M53" s="31"/>
      <x:c r="N53" s="32"/>
      <x:c r="O53" s="31"/>
      <x:c r="P53" s="31"/>
      <x:c r="Q53" s="31"/>
      <x:c r="R53" s="31"/>
      <x:c r="S53" s="33" t="n">
        <x:f>IF(LEFT(J53,1)="S",VALUE(MID(J53,2,1)),-1)</x:f>
        <x:v>-1</x:v>
      </x:c>
    </x:row>
    <x:row r="54">
      <x:c r="A54" s="31"/>
      <x:c r="B54" s="31"/>
      <x:c r="C54" s="31"/>
      <x:c r="D54" s="31"/>
      <x:c r="E54" s="31"/>
      <x:c r="F54" s="32"/>
      <x:c r="G54" s="31"/>
      <x:c r="H54" s="31"/>
      <x:c r="I54" s="31"/>
      <x:c r="J54" s="31"/>
      <x:c r="K54" s="32"/>
      <x:c r="L54" s="31"/>
      <x:c r="M54" s="31"/>
      <x:c r="N54" s="32"/>
      <x:c r="O54" s="31"/>
      <x:c r="P54" s="31"/>
      <x:c r="Q54" s="31"/>
      <x:c r="R54" s="31"/>
      <x:c r="S54" s="33" t="n">
        <x:f>IF(LEFT(J54,1)="S",VALUE(MID(J54,2,1)),-1)</x:f>
        <x:v>-1</x:v>
      </x:c>
    </x:row>
    <x:row r="55">
      <x:c r="A55" s="31"/>
      <x:c r="B55" s="31"/>
      <x:c r="C55" s="31"/>
      <x:c r="D55" s="31"/>
      <x:c r="E55" s="31"/>
      <x:c r="F55" s="32"/>
      <x:c r="G55" s="31"/>
      <x:c r="H55" s="31"/>
      <x:c r="I55" s="31"/>
      <x:c r="J55" s="31"/>
      <x:c r="K55" s="32"/>
      <x:c r="L55" s="31"/>
      <x:c r="M55" s="31"/>
      <x:c r="N55" s="32"/>
      <x:c r="O55" s="31"/>
      <x:c r="P55" s="31"/>
      <x:c r="Q55" s="31"/>
      <x:c r="R55" s="31"/>
      <x:c r="S55" s="33" t="n">
        <x:f>IF(LEFT(J55,1)="S",VALUE(MID(J55,2,1)),-1)</x:f>
        <x:v>-1</x:v>
      </x:c>
    </x:row>
    <x:row r="56">
      <x:c r="A56" s="31"/>
      <x:c r="B56" s="31"/>
      <x:c r="C56" s="31"/>
      <x:c r="D56" s="31"/>
      <x:c r="E56" s="31"/>
      <x:c r="F56" s="32"/>
      <x:c r="G56" s="31"/>
      <x:c r="H56" s="31"/>
      <x:c r="I56" s="31"/>
      <x:c r="J56" s="31"/>
      <x:c r="K56" s="32"/>
      <x:c r="L56" s="31"/>
      <x:c r="M56" s="31"/>
      <x:c r="N56" s="32"/>
      <x:c r="O56" s="31"/>
      <x:c r="P56" s="31"/>
      <x:c r="Q56" s="31"/>
      <x:c r="R56" s="31"/>
      <x:c r="S56" s="33" t="n">
        <x:f>IF(LEFT(J56,1)="S",VALUE(MID(J56,2,1)),-1)</x:f>
        <x:v>-1</x:v>
      </x:c>
    </x:row>
    <x:row r="57">
      <x:c r="A57" s="31"/>
      <x:c r="B57" s="31"/>
      <x:c r="C57" s="31"/>
      <x:c r="D57" s="31"/>
      <x:c r="E57" s="31"/>
      <x:c r="F57" s="32"/>
      <x:c r="G57" s="31"/>
      <x:c r="H57" s="31"/>
      <x:c r="I57" s="31"/>
      <x:c r="J57" s="31"/>
      <x:c r="K57" s="32"/>
      <x:c r="L57" s="31"/>
      <x:c r="M57" s="31"/>
      <x:c r="N57" s="32"/>
      <x:c r="O57" s="31"/>
      <x:c r="P57" s="31"/>
      <x:c r="Q57" s="31"/>
      <x:c r="R57" s="31"/>
      <x:c r="S57" s="33" t="n">
        <x:f>IF(LEFT(J57,1)="S",VALUE(MID(J57,2,1)),-1)</x:f>
        <x:v>-1</x:v>
      </x:c>
    </x:row>
    <x:row r="58">
      <x:c r="A58" s="31"/>
      <x:c r="B58" s="31"/>
      <x:c r="C58" s="31"/>
      <x:c r="D58" s="31"/>
      <x:c r="E58" s="31"/>
      <x:c r="F58" s="32"/>
      <x:c r="G58" s="31"/>
      <x:c r="H58" s="31"/>
      <x:c r="I58" s="31"/>
      <x:c r="J58" s="31"/>
      <x:c r="K58" s="32"/>
      <x:c r="L58" s="31"/>
      <x:c r="M58" s="31"/>
      <x:c r="N58" s="32"/>
      <x:c r="O58" s="31"/>
      <x:c r="P58" s="31"/>
      <x:c r="Q58" s="31"/>
      <x:c r="R58" s="31"/>
      <x:c r="S58" s="33" t="n">
        <x:f>IF(LEFT(J58,1)="S",VALUE(MID(J58,2,1)),-1)</x:f>
        <x:v>-1</x:v>
      </x:c>
    </x:row>
    <x:row r="59">
      <x:c r="A59" s="31"/>
      <x:c r="B59" s="31"/>
      <x:c r="C59" s="31"/>
      <x:c r="D59" s="31"/>
      <x:c r="E59" s="31"/>
      <x:c r="F59" s="32"/>
      <x:c r="G59" s="31"/>
      <x:c r="H59" s="31"/>
      <x:c r="I59" s="31"/>
      <x:c r="J59" s="31"/>
      <x:c r="K59" s="32"/>
      <x:c r="L59" s="31"/>
      <x:c r="M59" s="31"/>
      <x:c r="N59" s="32"/>
      <x:c r="O59" s="31"/>
      <x:c r="P59" s="31"/>
      <x:c r="Q59" s="31"/>
      <x:c r="R59" s="31"/>
      <x:c r="S59" s="33" t="n">
        <x:f>IF(LEFT(J59,1)="S",VALUE(MID(J59,2,1)),-1)</x:f>
        <x:v>-1</x:v>
      </x:c>
    </x:row>
    <x:row r="60">
      <x:c r="A60" s="31"/>
      <x:c r="B60" s="31"/>
      <x:c r="C60" s="31"/>
      <x:c r="D60" s="31"/>
      <x:c r="E60" s="31"/>
      <x:c r="F60" s="32"/>
      <x:c r="G60" s="31"/>
      <x:c r="H60" s="31"/>
      <x:c r="I60" s="31"/>
      <x:c r="J60" s="31"/>
      <x:c r="K60" s="32"/>
      <x:c r="L60" s="31"/>
      <x:c r="M60" s="31"/>
      <x:c r="N60" s="32"/>
      <x:c r="O60" s="31"/>
      <x:c r="P60" s="31"/>
      <x:c r="Q60" s="31"/>
      <x:c r="R60" s="31"/>
      <x:c r="S60" s="33" t="n">
        <x:f>IF(LEFT(J60,1)="S",VALUE(MID(J60,2,1)),-1)</x:f>
        <x:v>-1</x:v>
      </x:c>
    </x:row>
    <x:row r="61">
      <x:c r="A61" s="31"/>
      <x:c r="B61" s="31"/>
      <x:c r="C61" s="31"/>
      <x:c r="D61" s="31"/>
      <x:c r="E61" s="31"/>
      <x:c r="F61" s="32"/>
      <x:c r="G61" s="31"/>
      <x:c r="H61" s="31"/>
      <x:c r="I61" s="31"/>
      <x:c r="J61" s="31"/>
      <x:c r="K61" s="32"/>
      <x:c r="L61" s="31"/>
      <x:c r="M61" s="31"/>
      <x:c r="N61" s="32"/>
      <x:c r="O61" s="31"/>
      <x:c r="P61" s="31"/>
      <x:c r="Q61" s="31"/>
      <x:c r="R61" s="31"/>
      <x:c r="S61" s="33" t="n">
        <x:f>IF(LEFT(J61,1)="S",VALUE(MID(J61,2,1)),-1)</x:f>
        <x:v>-1</x:v>
      </x:c>
    </x:row>
    <x:row r="62">
      <x:c r="A62" s="31"/>
      <x:c r="B62" s="31"/>
      <x:c r="C62" s="31"/>
      <x:c r="D62" s="31"/>
      <x:c r="E62" s="31"/>
      <x:c r="F62" s="32"/>
      <x:c r="G62" s="31"/>
      <x:c r="H62" s="31"/>
      <x:c r="I62" s="31"/>
      <x:c r="J62" s="31"/>
      <x:c r="K62" s="32"/>
      <x:c r="L62" s="31"/>
      <x:c r="M62" s="31"/>
      <x:c r="N62" s="32"/>
      <x:c r="O62" s="31"/>
      <x:c r="P62" s="31"/>
      <x:c r="Q62" s="31"/>
      <x:c r="R62" s="31"/>
      <x:c r="S62" s="33" t="n">
        <x:f>IF(LEFT(J62,1)="S",VALUE(MID(J62,2,1)),-1)</x:f>
        <x:v>-1</x:v>
      </x:c>
    </x:row>
    <x:row r="63">
      <x:c r="A63" s="31"/>
      <x:c r="B63" s="31"/>
      <x:c r="C63" s="31"/>
      <x:c r="D63" s="31"/>
      <x:c r="E63" s="31"/>
      <x:c r="F63" s="32"/>
      <x:c r="G63" s="31"/>
      <x:c r="H63" s="31"/>
      <x:c r="I63" s="31"/>
      <x:c r="J63" s="31"/>
      <x:c r="K63" s="32"/>
      <x:c r="L63" s="31"/>
      <x:c r="M63" s="31"/>
      <x:c r="N63" s="32"/>
      <x:c r="O63" s="31"/>
      <x:c r="P63" s="31"/>
      <x:c r="Q63" s="31"/>
      <x:c r="R63" s="31"/>
      <x:c r="S63" s="33" t="n">
        <x:f>IF(LEFT(J63,1)="S",VALUE(MID(J63,2,1)),-1)</x:f>
        <x:v>-1</x:v>
      </x:c>
    </x:row>
    <x:row r="64">
      <x:c r="A64" s="31"/>
      <x:c r="B64" s="31"/>
      <x:c r="C64" s="31"/>
      <x:c r="D64" s="31"/>
      <x:c r="E64" s="31"/>
      <x:c r="F64" s="32"/>
      <x:c r="G64" s="31"/>
      <x:c r="H64" s="31"/>
      <x:c r="I64" s="31"/>
      <x:c r="J64" s="31"/>
      <x:c r="K64" s="32"/>
      <x:c r="L64" s="31"/>
      <x:c r="M64" s="31"/>
      <x:c r="N64" s="32"/>
      <x:c r="O64" s="31"/>
      <x:c r="P64" s="31"/>
      <x:c r="Q64" s="31"/>
      <x:c r="R64" s="31"/>
      <x:c r="S64" s="33" t="n">
        <x:f>IF(LEFT(J64,1)="S",VALUE(MID(J64,2,1)),-1)</x:f>
        <x:v>-1</x:v>
      </x:c>
    </x:row>
    <x:row r="65">
      <x:c r="A65" s="31"/>
      <x:c r="B65" s="31"/>
      <x:c r="C65" s="31"/>
      <x:c r="D65" s="31"/>
      <x:c r="E65" s="31"/>
      <x:c r="F65" s="32"/>
      <x:c r="G65" s="31"/>
      <x:c r="H65" s="31"/>
      <x:c r="I65" s="31"/>
      <x:c r="J65" s="31"/>
      <x:c r="K65" s="32"/>
      <x:c r="L65" s="31"/>
      <x:c r="M65" s="31"/>
      <x:c r="N65" s="32"/>
      <x:c r="O65" s="31"/>
      <x:c r="P65" s="31"/>
      <x:c r="Q65" s="31"/>
      <x:c r="R65" s="31"/>
      <x:c r="S65" s="33" t="n">
        <x:f>IF(LEFT(J65,1)="S",VALUE(MID(J65,2,1)),-1)</x:f>
        <x:v>-1</x:v>
      </x:c>
    </x:row>
    <x:row r="66">
      <x:c r="A66" s="31"/>
      <x:c r="B66" s="31"/>
      <x:c r="C66" s="31"/>
      <x:c r="D66" s="31"/>
      <x:c r="E66" s="31"/>
      <x:c r="F66" s="32"/>
      <x:c r="G66" s="31"/>
      <x:c r="H66" s="31"/>
      <x:c r="I66" s="31"/>
      <x:c r="J66" s="31"/>
      <x:c r="K66" s="32"/>
      <x:c r="L66" s="31"/>
      <x:c r="M66" s="31"/>
      <x:c r="N66" s="32"/>
      <x:c r="O66" s="31"/>
      <x:c r="P66" s="31"/>
      <x:c r="Q66" s="31"/>
      <x:c r="R66" s="31"/>
      <x:c r="S66" s="33" t="n">
        <x:f>IF(LEFT(J66,1)="S",VALUE(MID(J66,2,1)),-1)</x:f>
        <x:v>-1</x:v>
      </x:c>
    </x:row>
    <x:row r="67">
      <x:c r="A67" s="31"/>
      <x:c r="B67" s="31"/>
      <x:c r="C67" s="31"/>
      <x:c r="D67" s="31"/>
      <x:c r="E67" s="31"/>
      <x:c r="F67" s="32"/>
      <x:c r="G67" s="31"/>
      <x:c r="H67" s="31"/>
      <x:c r="I67" s="31"/>
      <x:c r="J67" s="31"/>
      <x:c r="K67" s="32"/>
      <x:c r="L67" s="31"/>
      <x:c r="M67" s="31"/>
      <x:c r="N67" s="32"/>
      <x:c r="O67" s="31"/>
      <x:c r="P67" s="31"/>
      <x:c r="Q67" s="31"/>
      <x:c r="R67" s="31"/>
      <x:c r="S67" s="33" t="n">
        <x:f>IF(LEFT(J67,1)="S",VALUE(MID(J67,2,1)),-1)</x:f>
        <x:v>-1</x:v>
      </x:c>
    </x:row>
    <x:row r="68">
      <x:c r="A68" s="31"/>
      <x:c r="B68" s="31"/>
      <x:c r="C68" s="31"/>
      <x:c r="D68" s="31"/>
      <x:c r="E68" s="31"/>
      <x:c r="F68" s="32"/>
      <x:c r="G68" s="31"/>
      <x:c r="H68" s="31"/>
      <x:c r="I68" s="31"/>
      <x:c r="J68" s="31"/>
      <x:c r="K68" s="32"/>
      <x:c r="L68" s="31"/>
      <x:c r="M68" s="31"/>
      <x:c r="N68" s="32"/>
      <x:c r="O68" s="31"/>
      <x:c r="P68" s="31"/>
      <x:c r="Q68" s="31"/>
      <x:c r="R68" s="31"/>
      <x:c r="S68" s="33" t="n">
        <x:f>IF(LEFT(J68,1)="S",VALUE(MID(J68,2,1)),-1)</x:f>
        <x:v>-1</x:v>
      </x:c>
    </x:row>
    <x:row r="69">
      <x:c r="A69" s="31"/>
      <x:c r="B69" s="31"/>
      <x:c r="C69" s="31"/>
      <x:c r="D69" s="31"/>
      <x:c r="E69" s="31"/>
      <x:c r="F69" s="32"/>
      <x:c r="G69" s="31"/>
      <x:c r="H69" s="31"/>
      <x:c r="I69" s="31"/>
      <x:c r="J69" s="31"/>
      <x:c r="K69" s="32"/>
      <x:c r="L69" s="31"/>
      <x:c r="M69" s="31"/>
      <x:c r="N69" s="32"/>
      <x:c r="O69" s="31"/>
      <x:c r="P69" s="31"/>
      <x:c r="Q69" s="31"/>
      <x:c r="R69" s="31"/>
      <x:c r="S69" s="33" t="n">
        <x:f>IF(LEFT(J69,1)="S",VALUE(MID(J69,2,1)),-1)</x:f>
        <x:v>-1</x:v>
      </x:c>
    </x:row>
    <x:row r="70">
      <x:c r="A70" s="31"/>
      <x:c r="B70" s="31"/>
      <x:c r="C70" s="31"/>
      <x:c r="D70" s="31"/>
      <x:c r="E70" s="31"/>
      <x:c r="F70" s="32"/>
      <x:c r="G70" s="31"/>
      <x:c r="H70" s="31"/>
      <x:c r="I70" s="31"/>
      <x:c r="J70" s="31"/>
      <x:c r="K70" s="32"/>
      <x:c r="L70" s="31"/>
      <x:c r="M70" s="31"/>
      <x:c r="N70" s="32"/>
      <x:c r="O70" s="31"/>
      <x:c r="P70" s="31"/>
      <x:c r="Q70" s="31"/>
      <x:c r="R70" s="31"/>
      <x:c r="S70" s="33" t="n">
        <x:f>IF(LEFT(J70,1)="S",VALUE(MID(J70,2,1)),-1)</x:f>
        <x:v>-1</x:v>
      </x:c>
    </x:row>
    <x:row r="71">
      <x:c r="A71" s="31"/>
      <x:c r="B71" s="31"/>
      <x:c r="C71" s="31"/>
      <x:c r="D71" s="31"/>
      <x:c r="E71" s="31"/>
      <x:c r="F71" s="32"/>
      <x:c r="G71" s="31"/>
      <x:c r="H71" s="31"/>
      <x:c r="I71" s="31"/>
      <x:c r="J71" s="31"/>
      <x:c r="K71" s="32"/>
      <x:c r="L71" s="31"/>
      <x:c r="M71" s="31"/>
      <x:c r="N71" s="32"/>
      <x:c r="O71" s="31"/>
      <x:c r="P71" s="31"/>
      <x:c r="Q71" s="31"/>
      <x:c r="R71" s="31"/>
      <x:c r="S71" s="33" t="n">
        <x:f>IF(LEFT(J71,1)="S",VALUE(MID(J71,2,1)),-1)</x:f>
        <x:v>-1</x:v>
      </x:c>
    </x:row>
    <x:row r="72">
      <x:c r="A72" s="31"/>
      <x:c r="B72" s="31"/>
      <x:c r="C72" s="31"/>
      <x:c r="D72" s="31"/>
      <x:c r="E72" s="31"/>
      <x:c r="F72" s="32"/>
      <x:c r="G72" s="31"/>
      <x:c r="H72" s="31"/>
      <x:c r="I72" s="31"/>
      <x:c r="J72" s="31"/>
      <x:c r="K72" s="32"/>
      <x:c r="L72" s="31"/>
      <x:c r="M72" s="31"/>
      <x:c r="N72" s="32"/>
      <x:c r="O72" s="31"/>
      <x:c r="P72" s="31"/>
      <x:c r="Q72" s="31"/>
      <x:c r="R72" s="31"/>
      <x:c r="S72" s="33" t="n">
        <x:f>IF(LEFT(J72,1)="S",VALUE(MID(J72,2,1)),-1)</x:f>
        <x:v>-1</x:v>
      </x:c>
    </x:row>
    <x:row r="73">
      <x:c r="A73" s="31"/>
      <x:c r="B73" s="31"/>
      <x:c r="C73" s="31"/>
      <x:c r="D73" s="31"/>
      <x:c r="E73" s="31"/>
      <x:c r="F73" s="32"/>
      <x:c r="G73" s="31"/>
      <x:c r="H73" s="31"/>
      <x:c r="I73" s="31"/>
      <x:c r="J73" s="31"/>
      <x:c r="K73" s="32"/>
      <x:c r="L73" s="31"/>
      <x:c r="M73" s="31"/>
      <x:c r="N73" s="32"/>
      <x:c r="O73" s="31"/>
      <x:c r="P73" s="31"/>
      <x:c r="Q73" s="31"/>
      <x:c r="R73" s="31"/>
      <x:c r="S73" s="33" t="n">
        <x:f>IF(LEFT(J73,1)="S",VALUE(MID(J73,2,1)),-1)</x:f>
        <x:v>-1</x:v>
      </x:c>
    </x:row>
    <x:row r="74">
      <x:c r="A74" s="31"/>
      <x:c r="B74" s="31"/>
      <x:c r="C74" s="31"/>
      <x:c r="D74" s="31"/>
      <x:c r="E74" s="31"/>
      <x:c r="F74" s="32"/>
      <x:c r="G74" s="31"/>
      <x:c r="H74" s="31"/>
      <x:c r="I74" s="31"/>
      <x:c r="J74" s="31"/>
      <x:c r="K74" s="32"/>
      <x:c r="L74" s="31"/>
      <x:c r="M74" s="31"/>
      <x:c r="N74" s="32"/>
      <x:c r="O74" s="31"/>
      <x:c r="P74" s="31"/>
      <x:c r="Q74" s="31"/>
      <x:c r="R74" s="31"/>
      <x:c r="S74" s="33" t="n">
        <x:f>IF(LEFT(J74,1)="S",VALUE(MID(J74,2,1)),-1)</x:f>
        <x:v>-1</x:v>
      </x:c>
    </x:row>
    <x:row r="75">
      <x:c r="A75" s="31"/>
      <x:c r="B75" s="31"/>
      <x:c r="C75" s="31"/>
      <x:c r="D75" s="31"/>
      <x:c r="E75" s="31"/>
      <x:c r="F75" s="32"/>
      <x:c r="G75" s="31"/>
      <x:c r="H75" s="31"/>
      <x:c r="I75" s="31"/>
      <x:c r="J75" s="31"/>
      <x:c r="K75" s="32"/>
      <x:c r="L75" s="31"/>
      <x:c r="M75" s="31"/>
      <x:c r="N75" s="32"/>
      <x:c r="O75" s="31"/>
      <x:c r="P75" s="31"/>
      <x:c r="Q75" s="31"/>
      <x:c r="R75" s="31"/>
      <x:c r="S75" s="33" t="n">
        <x:f>IF(LEFT(J75,1)="S",VALUE(MID(J75,2,1)),-1)</x:f>
        <x:v>-1</x:v>
      </x:c>
    </x:row>
    <x:row r="76">
      <x:c r="A76" s="31"/>
      <x:c r="B76" s="31"/>
      <x:c r="C76" s="31"/>
      <x:c r="D76" s="31"/>
      <x:c r="E76" s="31"/>
      <x:c r="F76" s="32"/>
      <x:c r="G76" s="31"/>
      <x:c r="H76" s="31"/>
      <x:c r="I76" s="31"/>
      <x:c r="J76" s="31"/>
      <x:c r="K76" s="32"/>
      <x:c r="L76" s="31"/>
      <x:c r="M76" s="31"/>
      <x:c r="N76" s="32"/>
      <x:c r="O76" s="31"/>
      <x:c r="P76" s="31"/>
      <x:c r="Q76" s="31"/>
      <x:c r="R76" s="31"/>
      <x:c r="S76" s="33" t="n">
        <x:f>IF(LEFT(J76,1)="S",VALUE(MID(J76,2,1)),-1)</x:f>
        <x:v>-1</x:v>
      </x:c>
    </x:row>
    <x:row r="77">
      <x:c r="A77" s="31"/>
      <x:c r="B77" s="31"/>
      <x:c r="C77" s="31"/>
      <x:c r="D77" s="31"/>
      <x:c r="E77" s="31"/>
      <x:c r="F77" s="32"/>
      <x:c r="G77" s="31"/>
      <x:c r="H77" s="31"/>
      <x:c r="I77" s="31"/>
      <x:c r="J77" s="31"/>
      <x:c r="K77" s="32"/>
      <x:c r="L77" s="31"/>
      <x:c r="M77" s="31"/>
      <x:c r="N77" s="32"/>
      <x:c r="O77" s="31"/>
      <x:c r="P77" s="31"/>
      <x:c r="Q77" s="31"/>
      <x:c r="R77" s="31"/>
      <x:c r="S77" s="33" t="n">
        <x:f>IF(LEFT(J77,1)="S",VALUE(MID(J77,2,1)),-1)</x:f>
        <x:v>-1</x:v>
      </x:c>
    </x:row>
    <x:row r="78">
      <x:c r="A78" s="31"/>
      <x:c r="B78" s="31"/>
      <x:c r="C78" s="31"/>
      <x:c r="D78" s="31"/>
      <x:c r="E78" s="31"/>
      <x:c r="F78" s="32"/>
      <x:c r="G78" s="31"/>
      <x:c r="H78" s="31"/>
      <x:c r="I78" s="31"/>
      <x:c r="J78" s="31"/>
      <x:c r="K78" s="32"/>
      <x:c r="L78" s="31"/>
      <x:c r="M78" s="31"/>
      <x:c r="N78" s="32"/>
      <x:c r="O78" s="31"/>
      <x:c r="P78" s="31"/>
      <x:c r="Q78" s="31"/>
      <x:c r="R78" s="31"/>
      <x:c r="S78" s="33" t="n">
        <x:f>IF(LEFT(J78,1)="S",VALUE(MID(J78,2,1)),-1)</x:f>
        <x:v>-1</x:v>
      </x:c>
    </x:row>
    <x:row r="79">
      <x:c r="A79" s="31"/>
      <x:c r="B79" s="31"/>
      <x:c r="C79" s="31"/>
      <x:c r="D79" s="31"/>
      <x:c r="E79" s="31"/>
      <x:c r="F79" s="32"/>
      <x:c r="G79" s="31"/>
      <x:c r="H79" s="31"/>
      <x:c r="I79" s="31"/>
      <x:c r="J79" s="31"/>
      <x:c r="K79" s="32"/>
      <x:c r="L79" s="31"/>
      <x:c r="M79" s="31"/>
      <x:c r="N79" s="32"/>
      <x:c r="O79" s="31"/>
      <x:c r="P79" s="31"/>
      <x:c r="Q79" s="31"/>
      <x:c r="R79" s="31"/>
      <x:c r="S79" s="33" t="n">
        <x:f>IF(LEFT(J79,1)="S",VALUE(MID(J79,2,1)),-1)</x:f>
        <x:v>-1</x:v>
      </x:c>
    </x:row>
    <x:row r="80">
      <x:c r="A80" s="31"/>
      <x:c r="B80" s="31"/>
      <x:c r="C80" s="31"/>
      <x:c r="D80" s="31"/>
      <x:c r="E80" s="31"/>
      <x:c r="F80" s="32"/>
      <x:c r="G80" s="31"/>
      <x:c r="H80" s="31"/>
      <x:c r="I80" s="31"/>
      <x:c r="J80" s="31"/>
      <x:c r="K80" s="32"/>
      <x:c r="L80" s="31"/>
      <x:c r="M80" s="31"/>
      <x:c r="N80" s="32"/>
      <x:c r="O80" s="31"/>
      <x:c r="P80" s="31"/>
      <x:c r="Q80" s="31"/>
      <x:c r="R80" s="31"/>
      <x:c r="S80" s="33" t="n">
        <x:f>IF(LEFT(J80,1)="S",VALUE(MID(J80,2,1)),-1)</x:f>
        <x:v>-1</x:v>
      </x:c>
    </x:row>
    <x:row r="81">
      <x:c r="A81" s="31"/>
      <x:c r="B81" s="31"/>
      <x:c r="C81" s="31"/>
      <x:c r="D81" s="31"/>
      <x:c r="E81" s="31"/>
      <x:c r="F81" s="32"/>
      <x:c r="G81" s="31"/>
      <x:c r="H81" s="31"/>
      <x:c r="I81" s="31"/>
      <x:c r="J81" s="31"/>
      <x:c r="K81" s="32"/>
      <x:c r="L81" s="31"/>
      <x:c r="M81" s="31"/>
      <x:c r="N81" s="32"/>
      <x:c r="O81" s="31"/>
      <x:c r="P81" s="31"/>
      <x:c r="Q81" s="31"/>
      <x:c r="R81" s="31"/>
      <x:c r="S81" s="33" t="n">
        <x:f>IF(LEFT(J81,1)="S",VALUE(MID(J81,2,1)),-1)</x:f>
        <x:v>-1</x:v>
      </x:c>
    </x:row>
    <x:row r="82">
      <x:c r="A82" s="31"/>
      <x:c r="B82" s="31"/>
      <x:c r="C82" s="31"/>
      <x:c r="D82" s="31"/>
      <x:c r="E82" s="31"/>
      <x:c r="F82" s="32"/>
      <x:c r="G82" s="31"/>
      <x:c r="H82" s="31"/>
      <x:c r="I82" s="31"/>
      <x:c r="J82" s="31"/>
      <x:c r="K82" s="32"/>
      <x:c r="L82" s="31"/>
      <x:c r="M82" s="31"/>
      <x:c r="N82" s="32"/>
      <x:c r="O82" s="31"/>
      <x:c r="P82" s="31"/>
      <x:c r="Q82" s="31"/>
      <x:c r="R82" s="31"/>
      <x:c r="S82" s="33" t="n">
        <x:f>IF(LEFT(J82,1)="S",VALUE(MID(J82,2,1)),-1)</x:f>
        <x:v>-1</x:v>
      </x:c>
    </x:row>
    <x:row r="83">
      <x:c r="A83" s="31"/>
      <x:c r="B83" s="31"/>
      <x:c r="C83" s="31"/>
      <x:c r="D83" s="31"/>
      <x:c r="E83" s="31"/>
      <x:c r="F83" s="32"/>
      <x:c r="G83" s="31"/>
      <x:c r="H83" s="31"/>
      <x:c r="I83" s="31"/>
      <x:c r="J83" s="31"/>
      <x:c r="K83" s="32"/>
      <x:c r="L83" s="31"/>
      <x:c r="M83" s="31"/>
      <x:c r="N83" s="32"/>
      <x:c r="O83" s="31"/>
      <x:c r="P83" s="31"/>
      <x:c r="Q83" s="31"/>
      <x:c r="R83" s="31"/>
      <x:c r="S83" s="33" t="n">
        <x:f>IF(LEFT(J83,1)="S",VALUE(MID(J83,2,1)),-1)</x:f>
        <x:v>-1</x:v>
      </x:c>
    </x:row>
    <x:row r="84">
      <x:c r="A84" s="31"/>
      <x:c r="B84" s="31"/>
      <x:c r="C84" s="31"/>
      <x:c r="D84" s="31"/>
      <x:c r="E84" s="31"/>
      <x:c r="F84" s="32"/>
      <x:c r="G84" s="31"/>
      <x:c r="H84" s="31"/>
      <x:c r="I84" s="31"/>
      <x:c r="J84" s="31"/>
      <x:c r="K84" s="32"/>
      <x:c r="L84" s="31"/>
      <x:c r="M84" s="31"/>
      <x:c r="N84" s="32"/>
      <x:c r="O84" s="31"/>
      <x:c r="P84" s="31"/>
      <x:c r="Q84" s="31"/>
      <x:c r="R84" s="31"/>
      <x:c r="S84" s="33" t="n">
        <x:f>IF(LEFT(J84,1)="S",VALUE(MID(J84,2,1)),-1)</x:f>
        <x:v>-1</x:v>
      </x:c>
    </x:row>
    <x:row r="85">
      <x:c r="A85" s="31"/>
      <x:c r="B85" s="31"/>
      <x:c r="C85" s="31"/>
      <x:c r="D85" s="31"/>
      <x:c r="E85" s="31"/>
      <x:c r="F85" s="32"/>
      <x:c r="G85" s="31"/>
      <x:c r="H85" s="31"/>
      <x:c r="I85" s="31"/>
      <x:c r="J85" s="31"/>
      <x:c r="K85" s="32"/>
      <x:c r="L85" s="31"/>
      <x:c r="M85" s="31"/>
      <x:c r="N85" s="32"/>
      <x:c r="O85" s="31"/>
      <x:c r="P85" s="31"/>
      <x:c r="Q85" s="31"/>
      <x:c r="R85" s="31"/>
      <x:c r="S85" s="33" t="n">
        <x:f>IF(LEFT(J85,1)="S",VALUE(MID(J85,2,1)),-1)</x:f>
        <x:v>-1</x:v>
      </x:c>
    </x:row>
    <x:row r="86">
      <x:c r="A86" s="31"/>
      <x:c r="B86" s="31"/>
      <x:c r="C86" s="31"/>
      <x:c r="D86" s="31"/>
      <x:c r="E86" s="31"/>
      <x:c r="F86" s="32"/>
      <x:c r="G86" s="31"/>
      <x:c r="H86" s="31"/>
      <x:c r="I86" s="31"/>
      <x:c r="J86" s="31"/>
      <x:c r="K86" s="32"/>
      <x:c r="L86" s="31"/>
      <x:c r="M86" s="31"/>
      <x:c r="N86" s="32"/>
      <x:c r="O86" s="31"/>
      <x:c r="P86" s="31"/>
      <x:c r="Q86" s="31"/>
      <x:c r="R86" s="31"/>
      <x:c r="S86" s="33" t="n">
        <x:f>IF(LEFT(J86,1)="S",VALUE(MID(J86,2,1)),-1)</x:f>
        <x:v>-1</x:v>
      </x:c>
    </x:row>
    <x:row r="87">
      <x:c r="A87" s="31"/>
      <x:c r="B87" s="31"/>
      <x:c r="C87" s="31"/>
      <x:c r="D87" s="31"/>
      <x:c r="E87" s="31"/>
      <x:c r="F87" s="32"/>
      <x:c r="G87" s="31"/>
      <x:c r="H87" s="31"/>
      <x:c r="I87" s="31"/>
      <x:c r="J87" s="31"/>
      <x:c r="K87" s="32"/>
      <x:c r="L87" s="31"/>
      <x:c r="M87" s="31"/>
      <x:c r="N87" s="32"/>
      <x:c r="O87" s="31"/>
      <x:c r="P87" s="31"/>
      <x:c r="Q87" s="31"/>
      <x:c r="R87" s="31"/>
      <x:c r="S87" s="33" t="n">
        <x:f>IF(LEFT(J87,1)="S",VALUE(MID(J87,2,1)),-1)</x:f>
        <x:v>-1</x:v>
      </x:c>
    </x:row>
    <x:row r="88">
      <x:c r="A88" s="31"/>
      <x:c r="B88" s="31"/>
      <x:c r="C88" s="31"/>
      <x:c r="D88" s="31"/>
      <x:c r="E88" s="31"/>
      <x:c r="F88" s="32"/>
      <x:c r="G88" s="31"/>
      <x:c r="H88" s="31"/>
      <x:c r="I88" s="31"/>
      <x:c r="J88" s="31"/>
      <x:c r="K88" s="32"/>
      <x:c r="L88" s="31"/>
      <x:c r="M88" s="31"/>
      <x:c r="N88" s="32"/>
      <x:c r="O88" s="31"/>
      <x:c r="P88" s="31"/>
      <x:c r="Q88" s="31"/>
      <x:c r="R88" s="31"/>
      <x:c r="S88" s="33" t="n">
        <x:f>IF(LEFT(J88,1)="S",VALUE(MID(J88,2,1)),-1)</x:f>
        <x:v>-1</x:v>
      </x:c>
    </x:row>
    <x:row r="89">
      <x:c r="A89" s="31"/>
      <x:c r="B89" s="31"/>
      <x:c r="C89" s="31"/>
      <x:c r="D89" s="31"/>
      <x:c r="E89" s="31"/>
      <x:c r="F89" s="32"/>
      <x:c r="G89" s="31"/>
      <x:c r="H89" s="31"/>
      <x:c r="I89" s="31"/>
      <x:c r="J89" s="31"/>
      <x:c r="K89" s="32"/>
      <x:c r="L89" s="31"/>
      <x:c r="M89" s="31"/>
      <x:c r="N89" s="32"/>
      <x:c r="O89" s="31"/>
      <x:c r="P89" s="31"/>
      <x:c r="Q89" s="31"/>
      <x:c r="R89" s="31"/>
      <x:c r="S89" s="33" t="n">
        <x:f>IF(LEFT(J89,1)="S",VALUE(MID(J89,2,1)),-1)</x:f>
        <x:v>-1</x:v>
      </x:c>
    </x:row>
    <x:row r="90">
      <x:c r="A90" s="31"/>
      <x:c r="B90" s="31"/>
      <x:c r="C90" s="31"/>
      <x:c r="D90" s="31"/>
      <x:c r="E90" s="31"/>
      <x:c r="F90" s="32"/>
      <x:c r="G90" s="31"/>
      <x:c r="H90" s="31"/>
      <x:c r="I90" s="31"/>
      <x:c r="J90" s="31"/>
      <x:c r="K90" s="32"/>
      <x:c r="L90" s="31"/>
      <x:c r="M90" s="31"/>
      <x:c r="N90" s="32"/>
      <x:c r="O90" s="31"/>
      <x:c r="P90" s="31"/>
      <x:c r="Q90" s="31"/>
      <x:c r="R90" s="31"/>
      <x:c r="S90" s="33" t="n">
        <x:f>IF(LEFT(J90,1)="S",VALUE(MID(J90,2,1)),-1)</x:f>
        <x:v>-1</x:v>
      </x:c>
    </x:row>
    <x:row r="91">
      <x:c r="A91" s="31"/>
      <x:c r="B91" s="31"/>
      <x:c r="C91" s="31"/>
      <x:c r="D91" s="31"/>
      <x:c r="E91" s="31"/>
      <x:c r="F91" s="32"/>
      <x:c r="G91" s="31"/>
      <x:c r="H91" s="31"/>
      <x:c r="I91" s="31"/>
      <x:c r="J91" s="31"/>
      <x:c r="K91" s="32"/>
      <x:c r="L91" s="31"/>
      <x:c r="M91" s="31"/>
      <x:c r="N91" s="32"/>
      <x:c r="O91" s="31"/>
      <x:c r="P91" s="31"/>
      <x:c r="Q91" s="31"/>
      <x:c r="R91" s="31"/>
      <x:c r="S91" s="33" t="n">
        <x:f>IF(LEFT(J91,1)="S",VALUE(MID(J91,2,1)),-1)</x:f>
        <x:v>-1</x:v>
      </x:c>
    </x:row>
    <x:row r="92">
      <x:c r="A92" s="31"/>
      <x:c r="B92" s="31"/>
      <x:c r="C92" s="31"/>
      <x:c r="D92" s="31"/>
      <x:c r="E92" s="31"/>
      <x:c r="F92" s="32"/>
      <x:c r="G92" s="31"/>
      <x:c r="H92" s="31"/>
      <x:c r="I92" s="31"/>
      <x:c r="J92" s="31"/>
      <x:c r="K92" s="32"/>
      <x:c r="L92" s="31"/>
      <x:c r="M92" s="31"/>
      <x:c r="N92" s="32"/>
      <x:c r="O92" s="31"/>
      <x:c r="P92" s="31"/>
      <x:c r="Q92" s="31"/>
      <x:c r="R92" s="31"/>
      <x:c r="S92" s="33" t="n">
        <x:f>IF(LEFT(J92,1)="S",VALUE(MID(J92,2,1)),-1)</x:f>
        <x:v>-1</x:v>
      </x:c>
    </x:row>
    <x:row r="93">
      <x:c r="A93" s="31"/>
      <x:c r="B93" s="31"/>
      <x:c r="C93" s="31"/>
      <x:c r="D93" s="31"/>
      <x:c r="E93" s="31"/>
      <x:c r="F93" s="32"/>
      <x:c r="G93" s="31"/>
      <x:c r="H93" s="31"/>
      <x:c r="I93" s="31"/>
      <x:c r="J93" s="31"/>
      <x:c r="K93" s="32"/>
      <x:c r="L93" s="31"/>
      <x:c r="M93" s="31"/>
      <x:c r="N93" s="32"/>
      <x:c r="O93" s="31"/>
      <x:c r="P93" s="31"/>
      <x:c r="Q93" s="31"/>
      <x:c r="R93" s="31"/>
      <x:c r="S93" s="33" t="n">
        <x:f>IF(LEFT(J93,1)="S",VALUE(MID(J93,2,1)),-1)</x:f>
        <x:v>-1</x:v>
      </x:c>
    </x:row>
    <x:row r="94">
      <x:c r="A94" s="31"/>
      <x:c r="B94" s="31"/>
      <x:c r="C94" s="31"/>
      <x:c r="D94" s="31"/>
      <x:c r="E94" s="31"/>
      <x:c r="F94" s="32"/>
      <x:c r="G94" s="31"/>
      <x:c r="H94" s="31"/>
      <x:c r="I94" s="31"/>
      <x:c r="J94" s="31"/>
      <x:c r="K94" s="32"/>
      <x:c r="L94" s="31"/>
      <x:c r="M94" s="31"/>
      <x:c r="N94" s="32"/>
      <x:c r="O94" s="31"/>
      <x:c r="P94" s="31"/>
      <x:c r="Q94" s="31"/>
      <x:c r="R94" s="31"/>
      <x:c r="S94" s="33" t="n">
        <x:f>IF(LEFT(J94,1)="S",VALUE(MID(J94,2,1)),-1)</x:f>
        <x:v>-1</x:v>
      </x:c>
    </x:row>
    <x:row r="95">
      <x:c r="A95" s="31"/>
      <x:c r="B95" s="31"/>
      <x:c r="C95" s="31"/>
      <x:c r="D95" s="31"/>
      <x:c r="E95" s="31"/>
      <x:c r="F95" s="32"/>
      <x:c r="G95" s="31"/>
      <x:c r="H95" s="31"/>
      <x:c r="I95" s="31"/>
      <x:c r="J95" s="31"/>
      <x:c r="K95" s="32"/>
      <x:c r="L95" s="31"/>
      <x:c r="M95" s="31"/>
      <x:c r="N95" s="32"/>
      <x:c r="O95" s="31"/>
      <x:c r="P95" s="31"/>
      <x:c r="Q95" s="31"/>
      <x:c r="R95" s="31"/>
      <x:c r="S95" s="33" t="n">
        <x:f>IF(LEFT(J95,1)="S",VALUE(MID(J95,2,1)),-1)</x:f>
        <x:v>-1</x:v>
      </x:c>
    </x:row>
    <x:row r="96">
      <x:c r="A96" s="31"/>
      <x:c r="B96" s="31"/>
      <x:c r="C96" s="31"/>
      <x:c r="D96" s="31"/>
      <x:c r="E96" s="31"/>
      <x:c r="F96" s="32"/>
      <x:c r="G96" s="31"/>
      <x:c r="H96" s="31"/>
      <x:c r="I96" s="31"/>
      <x:c r="J96" s="31"/>
      <x:c r="K96" s="32"/>
      <x:c r="L96" s="31"/>
      <x:c r="M96" s="31"/>
      <x:c r="N96" s="32"/>
      <x:c r="O96" s="31"/>
      <x:c r="P96" s="31"/>
      <x:c r="Q96" s="31"/>
      <x:c r="R96" s="31"/>
      <x:c r="S96" s="33" t="n">
        <x:f>IF(LEFT(J96,1)="S",VALUE(MID(J96,2,1)),-1)</x:f>
        <x:v>-1</x:v>
      </x:c>
    </x:row>
    <x:row r="97">
      <x:c r="A97" s="31"/>
      <x:c r="B97" s="31"/>
      <x:c r="C97" s="31"/>
      <x:c r="D97" s="31"/>
      <x:c r="E97" s="31"/>
      <x:c r="F97" s="32"/>
      <x:c r="G97" s="31"/>
      <x:c r="H97" s="31"/>
      <x:c r="I97" s="31"/>
      <x:c r="J97" s="31"/>
      <x:c r="K97" s="32"/>
      <x:c r="L97" s="31"/>
      <x:c r="M97" s="31"/>
      <x:c r="N97" s="32"/>
      <x:c r="O97" s="31"/>
      <x:c r="P97" s="31"/>
      <x:c r="Q97" s="31"/>
      <x:c r="R97" s="31"/>
      <x:c r="S97" s="33" t="n">
        <x:f>IF(LEFT(J97,1)="S",VALUE(MID(J97,2,1)),-1)</x:f>
        <x:v>-1</x:v>
      </x:c>
    </x:row>
    <x:row r="98">
      <x:c r="A98" s="31"/>
      <x:c r="B98" s="31"/>
      <x:c r="C98" s="31"/>
      <x:c r="D98" s="31"/>
      <x:c r="E98" s="31"/>
      <x:c r="F98" s="32"/>
      <x:c r="G98" s="31"/>
      <x:c r="H98" s="31"/>
      <x:c r="I98" s="31"/>
      <x:c r="J98" s="31"/>
      <x:c r="K98" s="32"/>
      <x:c r="L98" s="31"/>
      <x:c r="M98" s="31"/>
      <x:c r="N98" s="32"/>
      <x:c r="O98" s="31"/>
      <x:c r="P98" s="31"/>
      <x:c r="Q98" s="31"/>
      <x:c r="R98" s="31"/>
      <x:c r="S98" s="33" t="n">
        <x:f>IF(LEFT(J98,1)="S",VALUE(MID(J98,2,1)),-1)</x:f>
        <x:v>-1</x:v>
      </x:c>
    </x:row>
    <x:row r="99">
      <x:c r="A99" s="31"/>
      <x:c r="B99" s="31"/>
      <x:c r="C99" s="31"/>
      <x:c r="D99" s="31"/>
      <x:c r="E99" s="31"/>
      <x:c r="F99" s="32"/>
      <x:c r="G99" s="31"/>
      <x:c r="H99" s="31"/>
      <x:c r="I99" s="31"/>
      <x:c r="J99" s="31"/>
      <x:c r="K99" s="32"/>
      <x:c r="L99" s="31"/>
      <x:c r="M99" s="31"/>
      <x:c r="N99" s="32"/>
      <x:c r="O99" s="31"/>
      <x:c r="P99" s="31"/>
      <x:c r="Q99" s="31"/>
      <x:c r="R99" s="31"/>
      <x:c r="S99" s="33" t="n">
        <x:f>IF(LEFT(J99,1)="S",VALUE(MID(J99,2,1)),-1)</x:f>
        <x:v>-1</x:v>
      </x:c>
    </x:row>
    <x:row r="100">
      <x:c r="A100" s="31"/>
      <x:c r="B100" s="31"/>
      <x:c r="C100" s="31"/>
      <x:c r="D100" s="31"/>
      <x:c r="E100" s="31"/>
      <x:c r="F100" s="32"/>
      <x:c r="G100" s="31"/>
      <x:c r="H100" s="31"/>
      <x:c r="I100" s="31"/>
      <x:c r="J100" s="31"/>
      <x:c r="K100" s="32"/>
      <x:c r="L100" s="31"/>
      <x:c r="M100" s="31"/>
      <x:c r="N100" s="32"/>
      <x:c r="O100" s="31"/>
      <x:c r="P100" s="31"/>
      <x:c r="Q100" s="31"/>
      <x:c r="R100" s="31"/>
      <x:c r="S100" s="33" t="n">
        <x:f>IF(LEFT(J100,1)="S",VALUE(MID(J100,2,1)),-1)</x:f>
        <x:v>-1</x:v>
      </x:c>
    </x:row>
    <x:row r="101">
      <x:c r="A101" s="31"/>
      <x:c r="B101" s="31"/>
      <x:c r="C101" s="31"/>
      <x:c r="D101" s="31"/>
      <x:c r="E101" s="31"/>
      <x:c r="F101" s="32"/>
      <x:c r="G101" s="31"/>
      <x:c r="H101" s="31"/>
      <x:c r="I101" s="31"/>
      <x:c r="J101" s="31"/>
      <x:c r="K101" s="32"/>
      <x:c r="L101" s="31"/>
      <x:c r="M101" s="31"/>
      <x:c r="N101" s="32"/>
      <x:c r="O101" s="31"/>
      <x:c r="P101" s="31"/>
      <x:c r="Q101" s="31"/>
      <x:c r="R101" s="31"/>
      <x:c r="S101" s="33" t="n">
        <x:f>IF(LEFT(J101,1)="S",VALUE(MID(J101,2,1)),-1)</x:f>
        <x:v>-1</x:v>
      </x:c>
    </x:row>
    <x:row r="102">
      <x:c r="A102" s="31"/>
      <x:c r="B102" s="31"/>
      <x:c r="C102" s="31"/>
      <x:c r="D102" s="31"/>
      <x:c r="E102" s="31"/>
      <x:c r="F102" s="32"/>
      <x:c r="G102" s="31"/>
      <x:c r="H102" s="31"/>
      <x:c r="I102" s="31"/>
      <x:c r="J102" s="31"/>
      <x:c r="K102" s="32"/>
      <x:c r="L102" s="31"/>
      <x:c r="M102" s="31"/>
      <x:c r="N102" s="32"/>
      <x:c r="O102" s="31"/>
      <x:c r="P102" s="31"/>
      <x:c r="Q102" s="31"/>
      <x:c r="R102" s="31"/>
      <x:c r="S102" s="33" t="n">
        <x:f>IF(LEFT(J102,1)="S",VALUE(MID(J102,2,1)),-1)</x:f>
        <x:v>-1</x:v>
      </x:c>
    </x:row>
    <x:row r="103">
      <x:c r="A103" s="31"/>
      <x:c r="B103" s="31"/>
      <x:c r="C103" s="31"/>
      <x:c r="D103" s="31"/>
      <x:c r="E103" s="31"/>
      <x:c r="F103" s="32"/>
      <x:c r="G103" s="31"/>
      <x:c r="H103" s="31"/>
      <x:c r="I103" s="31"/>
      <x:c r="J103" s="31"/>
      <x:c r="K103" s="32"/>
      <x:c r="L103" s="31"/>
      <x:c r="M103" s="31"/>
      <x:c r="N103" s="32"/>
      <x:c r="O103" s="31"/>
      <x:c r="P103" s="31"/>
      <x:c r="Q103" s="31"/>
      <x:c r="R103" s="31"/>
      <x:c r="S103" s="33" t="n">
        <x:f>IF(LEFT(J103,1)="S",VALUE(MID(J103,2,1)),-1)</x:f>
        <x:v>-1</x:v>
      </x:c>
    </x:row>
    <x:row r="104">
      <x:c r="A104" s="31"/>
      <x:c r="B104" s="31"/>
      <x:c r="C104" s="31"/>
      <x:c r="D104" s="31"/>
      <x:c r="E104" s="31"/>
      <x:c r="F104" s="32"/>
      <x:c r="G104" s="31"/>
      <x:c r="H104" s="31"/>
      <x:c r="I104" s="31"/>
      <x:c r="J104" s="31"/>
      <x:c r="K104" s="32"/>
      <x:c r="L104" s="31"/>
      <x:c r="M104" s="31"/>
      <x:c r="N104" s="32"/>
      <x:c r="O104" s="31"/>
      <x:c r="P104" s="31"/>
      <x:c r="Q104" s="31"/>
      <x:c r="R104" s="31"/>
      <x:c r="S104" s="33" t="n">
        <x:f>IF(LEFT(J104,1)="S",VALUE(MID(J104,2,1)),-1)</x:f>
        <x:v>-1</x:v>
      </x:c>
    </x:row>
    <x:row r="105">
      <x:c r="A105" s="31"/>
      <x:c r="B105" s="31"/>
      <x:c r="C105" s="31"/>
      <x:c r="D105" s="31"/>
      <x:c r="E105" s="31"/>
      <x:c r="F105" s="32"/>
      <x:c r="G105" s="31"/>
      <x:c r="H105" s="31"/>
      <x:c r="I105" s="31"/>
      <x:c r="J105" s="31"/>
      <x:c r="K105" s="32"/>
      <x:c r="L105" s="31"/>
      <x:c r="M105" s="31"/>
      <x:c r="N105" s="32"/>
      <x:c r="O105" s="31"/>
      <x:c r="P105" s="31"/>
      <x:c r="Q105" s="31"/>
      <x:c r="R105" s="31"/>
      <x:c r="S105" s="33" t="n">
        <x:f>IF(LEFT(J105,1)="S",VALUE(MID(J105,2,1)),-1)</x:f>
        <x:v>-1</x:v>
      </x:c>
    </x:row>
    <x:row r="106">
      <x:c r="A106" s="31"/>
      <x:c r="B106" s="31"/>
      <x:c r="C106" s="31"/>
      <x:c r="D106" s="31"/>
      <x:c r="E106" s="31"/>
      <x:c r="F106" s="32"/>
      <x:c r="G106" s="31"/>
      <x:c r="H106" s="31"/>
      <x:c r="I106" s="31"/>
      <x:c r="J106" s="31"/>
      <x:c r="K106" s="32"/>
      <x:c r="L106" s="31"/>
      <x:c r="M106" s="31"/>
      <x:c r="N106" s="32"/>
      <x:c r="O106" s="31"/>
      <x:c r="P106" s="31"/>
      <x:c r="Q106" s="31"/>
      <x:c r="R106" s="31"/>
      <x:c r="S106" s="33" t="n">
        <x:f>IF(LEFT(J106,1)="S",VALUE(MID(J106,2,1)),-1)</x:f>
        <x:v>-1</x:v>
      </x:c>
    </x:row>
    <x:row r="107">
      <x:c r="A107" s="31"/>
      <x:c r="B107" s="31"/>
      <x:c r="C107" s="31"/>
      <x:c r="D107" s="31"/>
      <x:c r="E107" s="31"/>
      <x:c r="F107" s="32"/>
      <x:c r="G107" s="31"/>
      <x:c r="H107" s="31"/>
      <x:c r="I107" s="31"/>
      <x:c r="J107" s="31"/>
      <x:c r="K107" s="32"/>
      <x:c r="L107" s="31"/>
      <x:c r="M107" s="31"/>
      <x:c r="N107" s="32"/>
      <x:c r="O107" s="31"/>
      <x:c r="P107" s="31"/>
      <x:c r="Q107" s="31"/>
      <x:c r="R107" s="31"/>
      <x:c r="S107" s="33" t="n">
        <x:f>IF(LEFT(J107,1)="S",VALUE(MID(J107,2,1)),-1)</x:f>
        <x:v>-1</x:v>
      </x:c>
    </x:row>
    <x:row r="108">
      <x:c r="A108" s="31"/>
      <x:c r="B108" s="31"/>
      <x:c r="C108" s="31"/>
      <x:c r="D108" s="31"/>
      <x:c r="E108" s="31"/>
      <x:c r="F108" s="32"/>
      <x:c r="G108" s="31"/>
      <x:c r="H108" s="31"/>
      <x:c r="I108" s="31"/>
      <x:c r="J108" s="31"/>
      <x:c r="K108" s="32"/>
      <x:c r="L108" s="31"/>
      <x:c r="M108" s="31"/>
      <x:c r="N108" s="32"/>
      <x:c r="O108" s="31"/>
      <x:c r="P108" s="31"/>
      <x:c r="Q108" s="31"/>
      <x:c r="R108" s="31"/>
      <x:c r="S108" s="33" t="n">
        <x:f>IF(LEFT(J108,1)="S",VALUE(MID(J108,2,1)),-1)</x:f>
        <x:v>-1</x:v>
      </x:c>
    </x:row>
    <x:row r="109">
      <x:c r="A109" s="31"/>
      <x:c r="B109" s="31"/>
      <x:c r="C109" s="31"/>
      <x:c r="D109" s="31"/>
      <x:c r="E109" s="31"/>
      <x:c r="F109" s="32"/>
      <x:c r="G109" s="31"/>
      <x:c r="H109" s="31"/>
      <x:c r="I109" s="31"/>
      <x:c r="J109" s="31"/>
      <x:c r="K109" s="32"/>
      <x:c r="L109" s="31"/>
      <x:c r="M109" s="31"/>
      <x:c r="N109" s="32"/>
      <x:c r="O109" s="31"/>
      <x:c r="P109" s="31"/>
      <x:c r="Q109" s="31"/>
      <x:c r="R109" s="31"/>
      <x:c r="S109" s="33" t="n">
        <x:f>IF(LEFT(J109,1)="S",VALUE(MID(J109,2,1)),-1)</x:f>
        <x:v>-1</x:v>
      </x:c>
    </x:row>
    <x:row r="110">
      <x:c r="A110" s="31"/>
      <x:c r="B110" s="31"/>
      <x:c r="C110" s="31"/>
      <x:c r="D110" s="31"/>
      <x:c r="E110" s="31"/>
      <x:c r="F110" s="32"/>
      <x:c r="G110" s="31"/>
      <x:c r="H110" s="31"/>
      <x:c r="I110" s="31"/>
      <x:c r="J110" s="31"/>
      <x:c r="K110" s="32"/>
      <x:c r="L110" s="31"/>
      <x:c r="M110" s="31"/>
      <x:c r="N110" s="32"/>
      <x:c r="O110" s="31"/>
      <x:c r="P110" s="31"/>
      <x:c r="Q110" s="31"/>
      <x:c r="R110" s="31"/>
      <x:c r="S110" s="33" t="n">
        <x:f>IF(LEFT(J110,1)="S",VALUE(MID(J110,2,1)),-1)</x:f>
        <x:v>-1</x:v>
      </x:c>
    </x:row>
    <x:row r="111">
      <x:c r="A111" s="31"/>
      <x:c r="B111" s="31"/>
      <x:c r="C111" s="31"/>
      <x:c r="D111" s="31"/>
      <x:c r="E111" s="31"/>
      <x:c r="F111" s="32"/>
      <x:c r="G111" s="31"/>
      <x:c r="H111" s="31"/>
      <x:c r="I111" s="31"/>
      <x:c r="J111" s="31"/>
      <x:c r="K111" s="32"/>
      <x:c r="L111" s="31"/>
      <x:c r="M111" s="31"/>
      <x:c r="N111" s="32"/>
      <x:c r="O111" s="31"/>
      <x:c r="P111" s="31"/>
      <x:c r="Q111" s="31"/>
      <x:c r="R111" s="31"/>
      <x:c r="S111" s="33" t="n">
        <x:f>IF(LEFT(J111,1)="S",VALUE(MID(J111,2,1)),-1)</x:f>
        <x:v>-1</x:v>
      </x:c>
    </x:row>
    <x:row r="112">
      <x:c r="A112" s="31"/>
      <x:c r="B112" s="31"/>
      <x:c r="C112" s="31"/>
      <x:c r="D112" s="31"/>
      <x:c r="E112" s="31"/>
      <x:c r="F112" s="32"/>
      <x:c r="G112" s="31"/>
      <x:c r="H112" s="31"/>
      <x:c r="I112" s="31"/>
      <x:c r="J112" s="31"/>
      <x:c r="K112" s="32"/>
      <x:c r="L112" s="31"/>
      <x:c r="M112" s="31"/>
      <x:c r="N112" s="32"/>
      <x:c r="O112" s="31"/>
      <x:c r="P112" s="31"/>
      <x:c r="Q112" s="31"/>
      <x:c r="R112" s="31"/>
      <x:c r="S112" s="33" t="n">
        <x:f>IF(LEFT(J112,1)="S",VALUE(MID(J112,2,1)),-1)</x:f>
        <x:v>-1</x:v>
      </x:c>
    </x:row>
    <x:row r="113">
      <x:c r="A113" s="31"/>
      <x:c r="B113" s="31"/>
      <x:c r="C113" s="31"/>
      <x:c r="D113" s="31"/>
      <x:c r="E113" s="31"/>
      <x:c r="F113" s="32"/>
      <x:c r="G113" s="31"/>
      <x:c r="H113" s="31"/>
      <x:c r="I113" s="31"/>
      <x:c r="J113" s="31"/>
      <x:c r="K113" s="32"/>
      <x:c r="L113" s="31"/>
      <x:c r="M113" s="31"/>
      <x:c r="N113" s="32"/>
      <x:c r="O113" s="31"/>
      <x:c r="P113" s="31"/>
      <x:c r="Q113" s="31"/>
      <x:c r="R113" s="31"/>
      <x:c r="S113" s="33" t="n">
        <x:f>IF(LEFT(J113,1)="S",VALUE(MID(J113,2,1)),-1)</x:f>
        <x:v>-1</x:v>
      </x:c>
    </x:row>
    <x:row r="114">
      <x:c r="A114" s="31"/>
      <x:c r="B114" s="31"/>
      <x:c r="C114" s="31"/>
      <x:c r="D114" s="31"/>
      <x:c r="E114" s="31"/>
      <x:c r="F114" s="32"/>
      <x:c r="G114" s="31"/>
      <x:c r="H114" s="31"/>
      <x:c r="I114" s="31"/>
      <x:c r="J114" s="31"/>
      <x:c r="K114" s="32"/>
      <x:c r="L114" s="31"/>
      <x:c r="M114" s="31"/>
      <x:c r="N114" s="32"/>
      <x:c r="O114" s="31"/>
      <x:c r="P114" s="31"/>
      <x:c r="Q114" s="31"/>
      <x:c r="R114" s="31"/>
      <x:c r="S114" s="33" t="n">
        <x:f>IF(LEFT(J114,1)="S",VALUE(MID(J114,2,1)),-1)</x:f>
        <x:v>-1</x:v>
      </x:c>
    </x:row>
    <x:row r="115">
      <x:c r="A115" s="31"/>
      <x:c r="B115" s="31"/>
      <x:c r="C115" s="31"/>
      <x:c r="D115" s="31"/>
      <x:c r="E115" s="31"/>
      <x:c r="F115" s="32"/>
      <x:c r="G115" s="31"/>
      <x:c r="H115" s="31"/>
      <x:c r="I115" s="31"/>
      <x:c r="J115" s="31"/>
      <x:c r="K115" s="32"/>
      <x:c r="L115" s="31"/>
      <x:c r="M115" s="31"/>
      <x:c r="N115" s="32"/>
      <x:c r="O115" s="31"/>
      <x:c r="P115" s="31"/>
      <x:c r="Q115" s="31"/>
      <x:c r="R115" s="31"/>
      <x:c r="S115" s="33" t="n">
        <x:f>IF(LEFT(J115,1)="S",VALUE(MID(J115,2,1)),-1)</x:f>
        <x:v>-1</x:v>
      </x:c>
    </x:row>
    <x:row r="116">
      <x:c r="A116" s="31"/>
      <x:c r="B116" s="31"/>
      <x:c r="C116" s="31"/>
      <x:c r="D116" s="31"/>
      <x:c r="E116" s="31"/>
      <x:c r="F116" s="32"/>
      <x:c r="G116" s="31"/>
      <x:c r="H116" s="31"/>
      <x:c r="I116" s="31"/>
      <x:c r="J116" s="31"/>
      <x:c r="K116" s="32"/>
      <x:c r="L116" s="31"/>
      <x:c r="M116" s="31"/>
      <x:c r="N116" s="32"/>
      <x:c r="O116" s="31"/>
      <x:c r="P116" s="31"/>
      <x:c r="Q116" s="31"/>
      <x:c r="R116" s="31"/>
      <x:c r="S116" s="33" t="n">
        <x:f>IF(LEFT(J116,1)="S",VALUE(MID(J116,2,1)),-1)</x:f>
        <x:v>-1</x:v>
      </x:c>
    </x:row>
    <x:row r="117">
      <x:c r="A117" s="31"/>
      <x:c r="B117" s="31"/>
      <x:c r="C117" s="31"/>
      <x:c r="D117" s="31"/>
      <x:c r="E117" s="31"/>
      <x:c r="F117" s="32"/>
      <x:c r="G117" s="31"/>
      <x:c r="H117" s="31"/>
      <x:c r="I117" s="31"/>
      <x:c r="J117" s="31"/>
      <x:c r="K117" s="32"/>
      <x:c r="L117" s="31"/>
      <x:c r="M117" s="31"/>
      <x:c r="N117" s="32"/>
      <x:c r="O117" s="31"/>
      <x:c r="P117" s="31"/>
      <x:c r="Q117" s="31"/>
      <x:c r="R117" s="31"/>
      <x:c r="S117" s="33" t="n">
        <x:f>IF(LEFT(J117,1)="S",VALUE(MID(J117,2,1)),-1)</x:f>
        <x:v>-1</x:v>
      </x:c>
    </x:row>
    <x:row r="118">
      <x:c r="A118" s="31"/>
      <x:c r="B118" s="31"/>
      <x:c r="C118" s="31"/>
      <x:c r="D118" s="31"/>
      <x:c r="E118" s="31"/>
      <x:c r="F118" s="32"/>
      <x:c r="G118" s="31"/>
      <x:c r="H118" s="31"/>
      <x:c r="I118" s="31"/>
      <x:c r="J118" s="31"/>
      <x:c r="K118" s="32"/>
      <x:c r="L118" s="31"/>
      <x:c r="M118" s="31"/>
      <x:c r="N118" s="32"/>
      <x:c r="O118" s="31"/>
      <x:c r="P118" s="31"/>
      <x:c r="Q118" s="31"/>
      <x:c r="R118" s="31"/>
      <x:c r="S118" s="33" t="n">
        <x:f>IF(LEFT(J118,1)="S",VALUE(MID(J118,2,1)),-1)</x:f>
        <x:v>-1</x:v>
      </x:c>
    </x:row>
    <x:row r="119">
      <x:c r="A119" s="31"/>
      <x:c r="B119" s="31"/>
      <x:c r="C119" s="31"/>
      <x:c r="D119" s="31"/>
      <x:c r="E119" s="31"/>
      <x:c r="F119" s="32"/>
      <x:c r="G119" s="31"/>
      <x:c r="H119" s="31"/>
      <x:c r="I119" s="31"/>
      <x:c r="J119" s="31"/>
      <x:c r="K119" s="32"/>
      <x:c r="L119" s="31"/>
      <x:c r="M119" s="31"/>
      <x:c r="N119" s="32"/>
      <x:c r="O119" s="31"/>
      <x:c r="P119" s="31"/>
      <x:c r="Q119" s="31"/>
      <x:c r="R119" s="31"/>
      <x:c r="S119" s="33" t="n">
        <x:f>IF(LEFT(J119,1)="S",VALUE(MID(J119,2,1)),-1)</x:f>
        <x:v>-1</x:v>
      </x:c>
    </x:row>
    <x:row r="120">
      <x:c r="A120" s="31"/>
      <x:c r="B120" s="31"/>
      <x:c r="C120" s="31"/>
      <x:c r="D120" s="31"/>
      <x:c r="E120" s="31"/>
      <x:c r="F120" s="32"/>
      <x:c r="G120" s="31"/>
      <x:c r="H120" s="31"/>
      <x:c r="I120" s="31"/>
      <x:c r="J120" s="31"/>
      <x:c r="K120" s="32"/>
      <x:c r="L120" s="31"/>
      <x:c r="M120" s="31"/>
      <x:c r="N120" s="32"/>
      <x:c r="O120" s="31"/>
      <x:c r="P120" s="31"/>
      <x:c r="Q120" s="31"/>
      <x:c r="R120" s="31"/>
      <x:c r="S120" s="33" t="n">
        <x:f>IF(LEFT(J120,1)="S",VALUE(MID(J120,2,1)),-1)</x:f>
        <x:v>-1</x:v>
      </x:c>
    </x:row>
    <x:row r="121">
      <x:c r="A121" s="31"/>
      <x:c r="B121" s="31"/>
      <x:c r="C121" s="31"/>
      <x:c r="D121" s="31"/>
      <x:c r="E121" s="31"/>
      <x:c r="F121" s="32"/>
      <x:c r="G121" s="31"/>
      <x:c r="H121" s="31"/>
      <x:c r="I121" s="31"/>
      <x:c r="J121" s="31"/>
      <x:c r="K121" s="32"/>
      <x:c r="L121" s="31"/>
      <x:c r="M121" s="31"/>
      <x:c r="N121" s="32"/>
      <x:c r="O121" s="31"/>
      <x:c r="P121" s="31"/>
      <x:c r="Q121" s="31"/>
      <x:c r="R121" s="31"/>
      <x:c r="S121" s="33" t="n">
        <x:f>IF(LEFT(J121,1)="S",VALUE(MID(J121,2,1)),-1)</x:f>
        <x:v>-1</x:v>
      </x:c>
    </x:row>
    <x:row r="122">
      <x:c r="A122" s="31"/>
      <x:c r="B122" s="31"/>
      <x:c r="C122" s="31"/>
      <x:c r="D122" s="31"/>
      <x:c r="E122" s="31"/>
      <x:c r="F122" s="32"/>
      <x:c r="G122" s="31"/>
      <x:c r="H122" s="31"/>
      <x:c r="I122" s="31"/>
      <x:c r="J122" s="31"/>
      <x:c r="K122" s="32"/>
      <x:c r="L122" s="31"/>
      <x:c r="M122" s="31"/>
      <x:c r="N122" s="32"/>
      <x:c r="O122" s="31"/>
      <x:c r="P122" s="31"/>
      <x:c r="Q122" s="31"/>
      <x:c r="R122" s="31"/>
      <x:c r="S122" s="33" t="n">
        <x:f>IF(LEFT(J122,1)="S",VALUE(MID(J122,2,1)),-1)</x:f>
        <x:v>-1</x:v>
      </x:c>
    </x:row>
    <x:row r="123">
      <x:c r="A123" s="31"/>
      <x:c r="B123" s="31"/>
      <x:c r="C123" s="31"/>
      <x:c r="D123" s="31"/>
      <x:c r="E123" s="31"/>
      <x:c r="F123" s="32"/>
      <x:c r="G123" s="31"/>
      <x:c r="H123" s="31"/>
      <x:c r="I123" s="31"/>
      <x:c r="J123" s="31"/>
      <x:c r="K123" s="32"/>
      <x:c r="L123" s="31"/>
      <x:c r="M123" s="31"/>
      <x:c r="N123" s="32"/>
      <x:c r="O123" s="31"/>
      <x:c r="P123" s="31"/>
      <x:c r="Q123" s="31"/>
      <x:c r="R123" s="31"/>
      <x:c r="S123" s="33" t="n">
        <x:f>IF(LEFT(J123,1)="S",VALUE(MID(J123,2,1)),-1)</x:f>
        <x:v>-1</x:v>
      </x:c>
    </x:row>
    <x:row r="124">
      <x:c r="A124" s="31"/>
      <x:c r="B124" s="31"/>
      <x:c r="C124" s="31"/>
      <x:c r="D124" s="31"/>
      <x:c r="E124" s="31"/>
      <x:c r="F124" s="32"/>
      <x:c r="G124" s="31"/>
      <x:c r="H124" s="31"/>
      <x:c r="I124" s="31"/>
      <x:c r="J124" s="31"/>
      <x:c r="K124" s="32"/>
      <x:c r="L124" s="31"/>
      <x:c r="M124" s="31"/>
      <x:c r="N124" s="32"/>
      <x:c r="O124" s="31"/>
      <x:c r="P124" s="31"/>
      <x:c r="Q124" s="31"/>
      <x:c r="R124" s="31"/>
      <x:c r="S124" s="33" t="n">
        <x:f>IF(LEFT(J124,1)="S",VALUE(MID(J124,2,1)),-1)</x:f>
        <x:v>-1</x:v>
      </x:c>
    </x:row>
  </x:sheetData>
  <x:mergeCells>
    <x:mergeCell ref="A1:S1"/>
    <x:mergeCell ref="A2:S2"/>
  </x:mergeCells>
  <x:dataValidations count="10">
    <x:dataValidation type="list" sqref="A5:A124">
      <x:formula1>Accounts!$C$5:$C$34</x:formula1>
    </x:dataValidation>
    <x:dataValidation type="list" sqref="B5:B124">
      <x:formula1>"A,B"</x:formula1>
    </x:dataValidation>
    <x:dataValidation type="list" sqref="C5:C124">
      <x:formula1>"Operator,Champion,Buyer,Gatekeeper"</x:formula1>
    </x:dataValidation>
    <x:dataValidation type="list" sqref="E5:E124">
      <x:formula1>"Intro-consent,Self-opt-in,Community opt-in,Event opt-in,Existing relationship,Research panel"</x:formula1>
    </x:dataValidation>
    <x:dataValidation type="list" sqref="G5:G124">
      <x:formula1>"Research,Concept,Pilot,Updates"</x:formula1>
    </x:dataValidation>
    <x:dataValidation type="list" sqref="H5:H124">
      <x:formula1>"Email after consent,Intro relay,Community/Event,Research panel,Inbound,B2B phone – reviewed"</x:formula1>
    </x:dataValidation>
    <x:dataValidation type="list" sqref="I5:I124">
      <x:formula1>"Not reviewed,Allowed,Blocked"</x:formula1>
    </x:dataValidation>
    <x:dataValidation type="list" sqref="J5:J124">
      <x:formula1>"S0 Account Hypothesis,S1 Permission,S2 Screener Scheduled,S3 Qualified Discovery,S4 Evidence Collected,S5 Workflow/Buyer Validation,S6 Concept Test,S7 Pilot Qualified,S8 Pilot Offered,S9 Paid Pilot,Closed"</x:formula1>
    </x:dataValidation>
    <x:dataValidation type="list" sqref="L5:L124">
      <x:formula1>"Open,Waiting,Completed,Lost,Closed – no response"</x:formula1>
    </x:dataValidation>
    <x:dataValidation type="list" sqref="O5:O124">
      <x:formula1>"No,Yes"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42" hidden="0" customWidth="1"/>
  </x:cols>
  <x:sheetData>
    <x:row r="1" ht="30" customHeight="1">
      <x:c r="A1" s="25" t="str">
        <x:v>Vier-Wochen-Funnel</x:v>
      </x:c>
      <x:c r="B1" s="25" t="str">
        <x:v>Vier-Wochen-Funnel</x:v>
      </x:c>
      <x:c r="C1" s="25" t="str">
        <x:v>Vier-Wochen-Funnel</x:v>
      </x:c>
      <x:c r="D1" s="25" t="str">
        <x:v>Vier-Wochen-Funnel</x:v>
      </x:c>
      <x:c r="E1" s="25" t="str">
        <x:v>Vier-Wochen-Funnel</x:v>
      </x:c>
      <x:c r="F1" s="25" t="str">
        <x:v>Vier-Wochen-Funnel</x:v>
      </x:c>
      <x:c r="G1" s="25" t="str">
        <x:v>Vier-Wochen-Funnel</x:v>
      </x:c>
      <x:c r="H1" s="25" t="str">
        <x:v>Vier-Wochen-Funnel</x:v>
      </x:c>
    </x:row>
    <x:row r="2" ht="34" customHeight="1">
      <x:c r="A2" s="26" t="str">
        <x:v>Ziele sind Hypothesen. Actuals werden aus Accounts und Outreach Pipeline berechnet; Segmente bleiben getrennt.</x:v>
      </x:c>
      <x:c r="B2" s="26" t="str">
        <x:v>Ziele sind Hypothesen. Actuals werden aus Accounts und Outreach Pipeline berechnet; Segmente bleiben getrennt.</x:v>
      </x:c>
      <x:c r="C2" s="26" t="str">
        <x:v>Ziele sind Hypothesen. Actuals werden aus Accounts und Outreach Pipeline berechnet; Segmente bleiben getrennt.</x:v>
      </x:c>
      <x:c r="D2" s="26" t="str">
        <x:v>Ziele sind Hypothesen. Actuals werden aus Accounts und Outreach Pipeline berechnet; Segmente bleiben getrennt.</x:v>
      </x:c>
      <x:c r="E2" s="26" t="str">
        <x:v>Ziele sind Hypothesen. Actuals werden aus Accounts und Outreach Pipeline berechnet; Segmente bleiben getrennt.</x:v>
      </x:c>
      <x:c r="F2" s="26" t="str">
        <x:v>Ziele sind Hypothesen. Actuals werden aus Accounts und Outreach Pipeline berechnet; Segmente bleiben getrennt.</x:v>
      </x:c>
      <x:c r="G2" s="26" t="str">
        <x:v>Ziele sind Hypothesen. Actuals werden aus Accounts und Outreach Pipeline berechnet; Segmente bleiben getrennt.</x:v>
      </x:c>
      <x:c r="H2" s="26" t="str">
        <x:v>Ziele sind Hypothesen. Actuals werden aus Accounts und Outreach Pipeline berechnet; Segmente bleiben getrennt.</x:v>
      </x:c>
    </x:row>
    <x:row r="3">
      <x:c r="A3" s="27"/>
      <x:c r="B3" s="27"/>
      <x:c r="C3" s="27"/>
      <x:c r="D3" s="27"/>
      <x:c r="E3" s="27"/>
      <x:c r="F3" s="27"/>
      <x:c r="G3" s="27"/>
      <x:c r="H3" s="27"/>
    </x:row>
    <x:row r="4" ht="38" customHeight="1">
      <x:c r="A4" s="28" t="str">
        <x:v>Outcome je Segment</x:v>
      </x:c>
      <x:c r="B4" s="28" t="str">
        <x:v>Ziel A</x:v>
      </x:c>
      <x:c r="C4" s="28" t="str">
        <x:v>Ist A</x:v>
      </x:c>
      <x:c r="D4" s="28" t="str">
        <x:v>Status A</x:v>
      </x:c>
      <x:c r="E4" s="28" t="str">
        <x:v>Ziel B</x:v>
      </x:c>
      <x:c r="F4" s="28" t="str">
        <x:v>Ist B</x:v>
      </x:c>
      <x:c r="G4" s="28" t="str">
        <x:v>Status B</x:v>
      </x:c>
      <x:c r="H4" s="28" t="str">
        <x:v>Definition</x:v>
      </x:c>
    </x:row>
    <x:row r="5">
      <x:c r="A5" s="29" t="str">
        <x:v>Account-Hypothesen</x:v>
      </x:c>
      <x:c r="B5" s="29" t="n">
        <x:v>40</x:v>
      </x:c>
      <x:c r="C5" s="29" t="n">
        <x:f>COUNTIF('Accounts'!A5:A34,"A")</x:f>
        <x:v>15</x:v>
      </x:c>
      <x:c r="D5" s="29" t="str">
        <x:f>IF(C5&gt;=B5,"PASS","OPEN")</x:f>
        <x:v>OPEN</x:v>
      </x:c>
      <x:c r="E5" s="29" t="n">
        <x:v>40</x:v>
      </x:c>
      <x:c r="F5" s="29" t="n">
        <x:f>COUNTIF('Accounts'!A5:A34,"B")</x:f>
        <x:v>15</x:v>
      </x:c>
      <x:c r="G5" s="29" t="str">
        <x:f>IF(F5&gt;=E5,"PASS","OPEN")</x:f>
        <x:v>OPEN</x:v>
      </x:c>
      <x:c r="H5" s="29" t="str">
        <x:v>Öffentlich belegte Firmenhypothesen</x:v>
      </x:c>
    </x:row>
    <x:row r="6">
      <x:c r="A6" s="29" t="str">
        <x:v>Permission-to-contact Wege</x:v>
      </x:c>
      <x:c r="B6" s="29" t="n">
        <x:v>15</x:v>
      </x:c>
      <x:c r="C6" s="29" t="n">
        <x:f>COUNTIFS('Accounts'!A5:A34,"A",'Accounts'!O5:O34,"&lt;&gt;None",'Accounts'!O5:O34,"&lt;&gt;")</x:f>
        <x:v>0</x:v>
      </x:c>
      <x:c r="D6" s="29" t="str">
        <x:f>IF(C6&gt;=B6,"PASS","OPEN")</x:f>
        <x:v>OPEN</x:v>
      </x:c>
      <x:c r="E6" s="29" t="n">
        <x:v>15</x:v>
      </x:c>
      <x:c r="F6" s="29" t="n">
        <x:f>COUNTIFS('Accounts'!A5:A34,"B",'Accounts'!O5:O34,"&lt;&gt;None",'Accounts'!O5:O34,"&lt;&gt;")</x:f>
        <x:v>0</x:v>
      </x:c>
      <x:c r="G6" s="29" t="str">
        <x:f>IF(F6&gt;=E6,"PASS","OPEN")</x:f>
        <x:v>OPEN</x:v>
      </x:c>
      <x:c r="H6" s="29" t="str">
        <x:v>Dokumentierte Intro-/Opt-in-Route</x:v>
      </x:c>
    </x:row>
    <x:row r="7">
      <x:c r="A7" s="29" t="str">
        <x:v>Gebuchte Screener</x:v>
      </x:c>
      <x:c r="B7" s="29" t="n">
        <x:v>8</x:v>
      </x:c>
      <x:c r="C7" s="29" t="n">
        <x:f>COUNTIFS('Outreach Pipeline'!B5:B124,"A",'Outreach Pipeline'!S5:S124,"&gt;=2")</x:f>
        <x:v>0</x:v>
      </x:c>
      <x:c r="D7" s="29" t="str">
        <x:f>IF(C7&gt;=B7,"PASS","OPEN")</x:f>
        <x:v>OPEN</x:v>
      </x:c>
      <x:c r="E7" s="29" t="n">
        <x:v>8</x:v>
      </x:c>
      <x:c r="F7" s="29" t="n">
        <x:f>COUNTIFS('Outreach Pipeline'!B5:B124,"B",'Outreach Pipeline'!S5:S124,"&gt;=2")</x:f>
        <x:v>0</x:v>
      </x:c>
      <x:c r="G7" s="29" t="str">
        <x:f>IF(F7&gt;=E7,"PASS","OPEN")</x:f>
        <x:v>OPEN</x:v>
      </x:c>
      <x:c r="H7" s="29" t="str">
        <x:v>S2 Screener Scheduled oder höher</x:v>
      </x:c>
    </x:row>
    <x:row r="8">
      <x:c r="A8" s="29" t="str">
        <x:v>Qualified Discoveries</x:v>
      </x:c>
      <x:c r="B8" s="29" t="n">
        <x:v>10</x:v>
      </x:c>
      <x:c r="C8" s="29" t="n">
        <x:f>COUNTIFS('Outreach Pipeline'!B5:B124,"A",'Outreach Pipeline'!S5:S124,"&gt;=3")</x:f>
        <x:v>0</x:v>
      </x:c>
      <x:c r="D8" s="29" t="str">
        <x:f>IF(C8&gt;=B8,"PASS","OPEN")</x:f>
        <x:v>OPEN</x:v>
      </x:c>
      <x:c r="E8" s="29" t="n">
        <x:v>10</x:v>
      </x:c>
      <x:c r="F8" s="29" t="n">
        <x:f>COUNTIFS('Outreach Pipeline'!B5:B124,"B",'Outreach Pipeline'!S5:S124,"&gt;=3")</x:f>
        <x:v>0</x:v>
      </x:c>
      <x:c r="G8" s="29" t="str">
        <x:f>IF(F8&gt;=E8,"PASS","OPEN")</x:f>
        <x:v>OPEN</x:v>
      </x:c>
      <x:c r="H8" s="29" t="str">
        <x:v>S3 Qualified Discovery oder höher</x:v>
      </x:c>
    </x:row>
    <x:row r="9">
      <x:c r="A9" s="29" t="str">
        <x:v>Workflow-Beobachtungen</x:v>
      </x:c>
      <x:c r="B9" s="29" t="n">
        <x:v>3</x:v>
      </x:c>
      <x:c r="C9" s="29" t="n">
        <x:f>COUNTIFS('Outreach Pipeline'!B5:B124,"A",'Outreach Pipeline'!S5:S124,"&gt;=5",'Outreach Pipeline'!P5:P124,"*Workflow*")</x:f>
        <x:v>0</x:v>
      </x:c>
      <x:c r="D9" s="29" t="str">
        <x:f>IF(C9&gt;=B9,"PASS","OPEN")</x:f>
        <x:v>OPEN</x:v>
      </x:c>
      <x:c r="E9" s="29" t="n">
        <x:v>3</x:v>
      </x:c>
      <x:c r="F9" s="29" t="n">
        <x:f>COUNTIFS('Outreach Pipeline'!B5:B124,"B",'Outreach Pipeline'!S5:S124,"&gt;=5",'Outreach Pipeline'!P5:P124,"*Workflow*")</x:f>
        <x:v>0</x:v>
      </x:c>
      <x:c r="G9" s="29" t="str">
        <x:f>IF(F9&gt;=E9,"PASS","OPEN")</x:f>
        <x:v>OPEN</x:v>
      </x:c>
      <x:c r="H9" s="29" t="str">
        <x:v>S5 Workflow/Buyer Validation mit Workflow Evidence</x:v>
      </x:c>
    </x:row>
    <x:row r="10">
      <x:c r="A10" s="29" t="str">
        <x:v>Verifizierte Baselines</x:v>
      </x:c>
      <x:c r="B10" s="29" t="n">
        <x:v>5</x:v>
      </x:c>
      <x:c r="C10" s="29" t="n">
        <x:f>COUNTIFS('Outreach Pipeline'!B5:B124,"A",'Outreach Pipeline'!P5:P124,"*Baseline*")</x:f>
        <x:v>0</x:v>
      </x:c>
      <x:c r="D10" s="29" t="str">
        <x:f>IF(C10&gt;=B10,"PASS","OPEN")</x:f>
        <x:v>OPEN</x:v>
      </x:c>
      <x:c r="E10" s="29" t="n">
        <x:v>5</x:v>
      </x:c>
      <x:c r="F10" s="29" t="n">
        <x:f>COUNTIFS('Outreach Pipeline'!B5:B124,"B",'Outreach Pipeline'!P5:P124,"*Baseline*")</x:f>
        <x:v>0</x:v>
      </x:c>
      <x:c r="G10" s="29" t="str">
        <x:f>IF(F10&gt;=E10,"PASS","OPEN")</x:f>
        <x:v>OPEN</x:v>
      </x:c>
      <x:c r="H10" s="29" t="str">
        <x:v>Evidence ID mit Baseline</x:v>
      </x:c>
    </x:row>
    <x:row r="11">
      <x:c r="A11" s="29" t="str">
        <x:v>Concept Tests</x:v>
      </x:c>
      <x:c r="B11" s="29" t="n">
        <x:v>5</x:v>
      </x:c>
      <x:c r="C11" s="29" t="n">
        <x:f>COUNTIFS('Outreach Pipeline'!B5:B124,"A",'Outreach Pipeline'!S5:S124,"&gt;=6")</x:f>
        <x:v>0</x:v>
      </x:c>
      <x:c r="D11" s="29" t="str">
        <x:f>IF(C11&gt;=B11,"PASS","OPEN")</x:f>
        <x:v>OPEN</x:v>
      </x:c>
      <x:c r="E11" s="29" t="n">
        <x:v>5</x:v>
      </x:c>
      <x:c r="F11" s="29" t="n">
        <x:f>COUNTIFS('Outreach Pipeline'!B5:B124,"B",'Outreach Pipeline'!S5:S124,"&gt;=6")</x:f>
        <x:v>0</x:v>
      </x:c>
      <x:c r="G11" s="29" t="str">
        <x:f>IF(F11&gt;=E11,"PASS","OPEN")</x:f>
        <x:v>OPEN</x:v>
      </x:c>
      <x:c r="H11" s="29" t="str">
        <x:v>S6 Concept Test oder höher</x:v>
      </x:c>
    </x:row>
    <x:row r="12">
      <x:c r="A12" s="29" t="str">
        <x:v>Technical Readiness</x:v>
      </x:c>
      <x:c r="B12" s="29" t="n">
        <x:v>2</x:v>
      </x:c>
      <x:c r="C12" s="29" t="n">
        <x:f>COUNTIFS('Outreach Pipeline'!B5:B124,"A",'Outreach Pipeline'!S5:S124,"&gt;=7")</x:f>
        <x:v>0</x:v>
      </x:c>
      <x:c r="D12" s="29" t="str">
        <x:f>IF(C12&gt;=B12,"PASS","OPEN")</x:f>
        <x:v>OPEN</x:v>
      </x:c>
      <x:c r="E12" s="29" t="n">
        <x:v>2</x:v>
      </x:c>
      <x:c r="F12" s="29" t="n">
        <x:f>COUNTIFS('Outreach Pipeline'!B5:B124,"B",'Outreach Pipeline'!S5:S124,"&gt;=7")</x:f>
        <x:v>0</x:v>
      </x:c>
      <x:c r="G12" s="29" t="str">
        <x:f>IF(F12&gt;=E12,"PASS","OPEN")</x:f>
        <x:v>OPEN</x:v>
      </x:c>
      <x:c r="H12" s="29" t="str">
        <x:v>S7 Pilot Qualified oder Technical Assessment</x:v>
      </x:c>
    </x:row>
    <x:row r="13">
      <x:c r="A13" s="29" t="str">
        <x:v>Schriftliche Pilotangebote</x:v>
      </x:c>
      <x:c r="B13" s="29" t="n">
        <x:v>2</x:v>
      </x:c>
      <x:c r="C13" s="29" t="n">
        <x:f>COUNTIFS('Outreach Pipeline'!B5:B124,"A",'Outreach Pipeline'!S5:S124,"&gt;=8")</x:f>
        <x:v>0</x:v>
      </x:c>
      <x:c r="D13" s="29" t="str">
        <x:f>IF(C13&gt;=B13,"PASS","OPEN")</x:f>
        <x:v>OPEN</x:v>
      </x:c>
      <x:c r="E13" s="29" t="n">
        <x:v>2</x:v>
      </x:c>
      <x:c r="F13" s="29" t="n">
        <x:f>COUNTIFS('Outreach Pipeline'!B5:B124,"B",'Outreach Pipeline'!S5:S124,"&gt;=8")</x:f>
        <x:v>0</x:v>
      </x:c>
      <x:c r="G13" s="29" t="str">
        <x:f>IF(F13&gt;=E13,"PASS","OPEN")</x:f>
        <x:v>OPEN</x:v>
      </x:c>
      <x:c r="H13" s="29" t="str">
        <x:v>S8 Pilot Offered oder höher</x:v>
      </x:c>
    </x:row>
    <x:row r="14">
      <x:c r="A14" s="29" t="str">
        <x:v>Angezahlte Piloten</x:v>
      </x:c>
      <x:c r="B14" s="29" t="n">
        <x:v>2</x:v>
      </x:c>
      <x:c r="C14" s="29" t="n">
        <x:f>COUNTIFS('Outreach Pipeline'!B5:B124,"A",'Outreach Pipeline'!S5:S124,"&gt;=9")</x:f>
        <x:v>0</x:v>
      </x:c>
      <x:c r="D14" s="29" t="str">
        <x:f>IF(C14&gt;=B14,"PASS","OPEN")</x:f>
        <x:v>OPEN</x:v>
      </x:c>
      <x:c r="E14" s="29" t="n">
        <x:v>2</x:v>
      </x:c>
      <x:c r="F14" s="29" t="n">
        <x:f>COUNTIFS('Outreach Pipeline'!B5:B124,"B",'Outreach Pipeline'!S5:S124,"&gt;=9")</x:f>
        <x:v>0</x:v>
      </x:c>
      <x:c r="G14" s="29" t="str">
        <x:f>IF(F14&gt;=E14,"PASS","OPEN")</x:f>
        <x:v>OPEN</x:v>
      </x:c>
      <x:c r="H14" s="29" t="str">
        <x:v>S9 Paid Pilot</x:v>
      </x:c>
    </x:row>
    <x:row r="15">
      <x:c r="A15" s="29"/>
      <x:c r="B15" s="29"/>
      <x:c r="C15" s="29"/>
      <x:c r="D15" s="29"/>
      <x:c r="E15" s="29"/>
      <x:c r="F15" s="29"/>
      <x:c r="G15" s="29"/>
      <x:c r="H15" s="29"/>
    </x:row>
    <x:row r="16">
      <x:c r="A16" s="34" t="str">
        <x:v>No-Build Gate</x:v>
      </x:c>
      <x:c r="B16" s="34"/>
      <x:c r="C16" s="34"/>
      <x:c r="D16" s="34" t="str">
        <x:f>IF(AND(D14="PASS",G14="PASS"),"BEIDE SEGMENTE ZAHLUNGSGATE BESTANDEN",IF(OR(D14="PASS",G14="PASS"),"EIN SEGMENT ZAHLUNGSGATE BESTANDEN","NO BUILD – ZAHLUNGSGATE OFFEN"))</x:f>
        <x:v>NO BUILD – ZAHLUNGSGATE OFFEN</x:v>
      </x:c>
      <x:c r="E16" s="34"/>
      <x:c r="F16" s="34"/>
      <x:c r="G16" s="34"/>
      <x:c r="H16" s="34"/>
    </x:row>
  </x:sheetData>
  <x:mergeCells>
    <x:mergeCell ref="A1:H1"/>
    <x:mergeCell ref="A2:H2"/>
    <x:mergeCell ref="D16:H16"/>
  </x:mergeCells>
  <x:conditionalFormatting sqref="D5:D14">
    <x:cfRule type="containsText" dxfId="2" priority="1" operator="containsText" text="PASS"/>
    <x:cfRule type="containsText" dxfId="3" priority="2" operator="containsText" text="OPEN"/>
  </x:conditionalFormatting>
  <x:conditionalFormatting sqref="G5:G14">
    <x:cfRule type="containsText" dxfId="4" priority="3" operator="containsText" text="PASS"/>
    <x:cfRule type="containsText" dxfId="5" priority="4" operator="containsText" text="OPEN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2" hidden="0" customWidth="1"/>
    <x:col min="3" max="3" width="65" hidden="0" customWidth="1"/>
    <x:col min="4" max="4" width="27" hidden="0" customWidth="1"/>
    <x:col min="5" max="5" width="27" hidden="0" customWidth="1"/>
    <x:col min="6" max="6" width="27" hidden="0" customWidth="1"/>
  </x:cols>
  <x:sheetData>
    <x:row r="1" ht="30" customHeight="1">
      <x:c r="A1" s="25" t="str">
        <x:v>Permissioned Message Library</x:v>
      </x:c>
      <x:c r="B1" s="25" t="str">
        <x:v>Permissioned Message Library</x:v>
      </x:c>
      <x:c r="C1" s="25" t="str">
        <x:v>Permissioned Message Library</x:v>
      </x:c>
      <x:c r="D1" s="25" t="str">
        <x:v>Permissioned Message Library</x:v>
      </x:c>
      <x:c r="E1" s="25" t="str">
        <x:v>Permissioned Message Library</x:v>
      </x:c>
      <x:c r="F1" s="25" t="str">
        <x:v>Permissioned Message Library</x:v>
      </x:c>
    </x:row>
    <x:row r="2" ht="34" customHeight="1">
      <x:c r="A2" s="26" t="str">
        <x:v>Vorlagen erst nach dokumentiertem Intro/Opt-in verwenden. Problem Discovery, Concept Test und Pilot bleiben getrennte Einladungen.</x:v>
      </x:c>
      <x:c r="B2" s="26" t="str">
        <x:v>Vorlagen erst nach dokumentiertem Intro/Opt-in verwenden. Problem Discovery, Concept Test und Pilot bleiben getrennte Einladungen.</x:v>
      </x:c>
      <x:c r="C2" s="26" t="str">
        <x:v>Vorlagen erst nach dokumentiertem Intro/Opt-in verwenden. Problem Discovery, Concept Test und Pilot bleiben getrennte Einladungen.</x:v>
      </x:c>
      <x:c r="D2" s="26" t="str">
        <x:v>Vorlagen erst nach dokumentiertem Intro/Opt-in verwenden. Problem Discovery, Concept Test und Pilot bleiben getrennte Einladungen.</x:v>
      </x:c>
      <x:c r="E2" s="26" t="str">
        <x:v>Vorlagen erst nach dokumentiertem Intro/Opt-in verwenden. Problem Discovery, Concept Test und Pilot bleiben getrennte Einladungen.</x:v>
      </x:c>
      <x:c r="F2" s="26" t="str">
        <x:v>Vorlagen erst nach dokumentiertem Intro/Opt-in verwenden. Problem Discovery, Concept Test und Pilot bleiben getrennte Einladungen.</x:v>
      </x:c>
    </x:row>
    <x:row r="3">
      <x:c r="A3" s="27"/>
      <x:c r="B3" s="27"/>
      <x:c r="C3" s="27"/>
      <x:c r="D3" s="27"/>
      <x:c r="E3" s="27"/>
      <x:c r="F3" s="27"/>
    </x:row>
    <x:row r="4" ht="38" customHeight="1">
      <x:c r="A4" s="28" t="str">
        <x:v>Use Case</x:v>
      </x:c>
      <x:c r="B4" s="28" t="str">
        <x:v>Segment/Rolle</x:v>
      </x:c>
      <x:c r="C4" s="28" t="str">
        <x:v>Vorlage</x:v>
      </x:c>
      <x:c r="D4" s="28" t="str">
        <x:v>CTA</x:v>
      </x:c>
      <x:c r="E4" s="28" t="str">
        <x:v>Follow-up</x:v>
      </x:c>
      <x:c r="F4" s="28" t="str">
        <x:v>Stop-Regel</x:v>
      </x:c>
    </x:row>
    <x:row r="5" ht="72" customHeight="1">
      <x:c r="A5" s="29" t="str">
        <x:v>Referral Ask</x:v>
      </x:c>
      <x:c r="B5" s="29" t="str">
        <x:v>A/B – bekannte Person</x:v>
      </x:c>
      <x:c r="C5" s="29" t="str">
        <x:v>Wir untersuchen, wie reale Kundenfälle über Teams, Systeme und Kanäle bearbeitet werden. Kennst du eine passende Operator- oder Operations-Person? Bitte Kontaktdaten erst nach deren Zustimmung teilen.</x:v>
      </x:c>
      <x:c r="D5" s="29" t="str">
        <x:v>Freiwilliges Intro zum Research-Link</x:v>
      </x:c>
      <x:c r="E5" s="29" t="str">
        <x:v>Eine Erinnerung nach 4–5 Tagen</x:v>
      </x:c>
      <x:c r="F5" s="29" t="str">
        <x:v>Nach Tag 10 schließen</x:v>
      </x:c>
    </x:row>
    <x:row r="6" ht="72" customHeight="1">
      <x:c r="A6" s="29" t="str">
        <x:v>Operator Research</x:v>
      </x:c>
      <x:c r="B6" s="29" t="str">
        <x:v>A</x:v>
      </x:c>
      <x:c r="C6" s="29" t="str">
        <x:v>Mit Ihrer Zustimmung vorgestellt: Wir möchten einen realen Service-/Reparaturfall aus den letzten 30 Tagen zwischen Disposition, Backoffice, Außendienst oder Partnern verstehen – ohne Demo oder Verkauf.</x:v>
      </x:c>
      <x:c r="D6" s="29" t="str">
        <x:v>60-min Research-Interview</x:v>
      </x:c>
      <x:c r="E6" s="29" t="str">
        <x:v>Eine Erinnerung Tag 4–5</x:v>
      </x:c>
      <x:c r="F6" s="29" t="str">
        <x:v>Nein/Opt-out sofort; sonst Tag 10</x:v>
      </x:c>
    </x:row>
    <x:row r="7" ht="72" customHeight="1">
      <x:c r="A7" s="29" t="str">
        <x:v>Buyer Research</x:v>
      </x:c>
      <x:c r="B7" s="29" t="str">
        <x:v>A</x:v>
      </x:c>
      <x:c r="C7" s="29" t="str">
        <x:v>Wir untersuchen messbare Kosten durch unklare Übergaben, offene Rückrufe oder verlorenen Kontext in mehrgliedrigen Serviceprozessen. Zunächst nur Forschung anhand eines realen Falls.</x:v>
      </x:c>
      <x:c r="D7" s="29" t="str">
        <x:v>60-min Buyer-/Workflow-Interview</x:v>
      </x:c>
      <x:c r="E7" s="29" t="str">
        <x:v>Eine Erinnerung Tag 4–5</x:v>
      </x:c>
      <x:c r="F7" s="29" t="str">
        <x:v>Kein Nurturing ohne neues Opt-in</x:v>
      </x:c>
    </x:row>
    <x:row r="8" ht="72" customHeight="1">
      <x:c r="A8" s="29" t="str">
        <x:v>Operator Research</x:v>
      </x:c>
      <x:c r="B8" s="29" t="str">
        <x:v>B</x:v>
      </x:c>
      <x:c r="C8" s="29" t="str">
        <x:v>Mit Ihrer Zustimmung vorgestellt: Wir erforschen Kundenprozesse, in denen Arbeit zwischen AI, Mensch und mehreren Systemen wechselt, besonders reale Handoffs und Overrides.</x:v>
      </x:c>
      <x:c r="D8" s="29" t="str">
        <x:v>60-min Research-Interview</x:v>
      </x:c>
      <x:c r="E8" s="29" t="str">
        <x:v>Eine Erinnerung Tag 4–5</x:v>
      </x:c>
      <x:c r="F8" s="29" t="str">
        <x:v>Nein/Opt-out sofort; sonst Tag 10</x:v>
      </x:c>
    </x:row>
    <x:row r="9" ht="72" customHeight="1">
      <x:c r="A9" s="29" t="str">
        <x:v>Buyer/Governance</x:v>
      </x:c>
      <x:c r="B9" s="29" t="str">
        <x:v>B</x:v>
      </x:c>
      <x:c r="C9" s="29" t="str">
        <x:v>Wir untersuchen, wie produktive AI-Kommunikation autorisierten Kontext, Policies, Freigaben und Auditspur erhält. Im ersten Gespräch gibt es keine Demo und kein Angebot.</x:v>
      </x:c>
      <x:c r="D9" s="29" t="str">
        <x:v>60-min Buyer-/Governance-Interview</x:v>
      </x:c>
      <x:c r="E9" s="29" t="str">
        <x:v>Eine Erinnerung Tag 4–5</x:v>
      </x:c>
      <x:c r="F9" s="29" t="str">
        <x:v>Kein Nurturing ohne neues Opt-in</x:v>
      </x:c>
    </x:row>
    <x:row r="10" ht="72" customHeight="1">
      <x:c r="A10" s="29" t="str">
        <x:v>Community/Event</x:v>
      </x:c>
      <x:c r="B10" s="29" t="str">
        <x:v>A/B</x:v>
      </x:c>
      <x:c r="C10" s="29" t="str">
        <x:v>Research-Teilnehmer gesucht – kein Produkt-Pitch. Wir vergleichen technische Serviceübergaben und Human-AI-Customer-Ops. 60 Minuten, ein konkreter Fall, klare Datenschutzinformationen.</x:v>
      </x:c>
      <x:c r="D10" s="29" t="str">
        <x:v>Freiwillige Anmeldung</x:v>
      </x:c>
      <x:c r="E10" s="29" t="str">
        <x:v>Nur im erlaubten Kanal</x:v>
      </x:c>
      <x:c r="F10" s="29" t="str">
        <x:v>Admin-/Plattformregeln und Opt-out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37" hidden="0" customWidth="1"/>
    <x:col min="4" max="4" width="37" hidden="0" customWidth="1"/>
    <x:col min="5" max="5" width="37" hidden="0" customWidth="1"/>
    <x:col min="6" max="6" width="37" hidden="0" customWidth="1"/>
    <x:col min="7" max="7" width="55" hidden="0" customWidth="1"/>
  </x:cols>
  <x:sheetData>
    <x:row r="1" ht="30" customHeight="1">
      <x:c r="A1" s="25" t="str">
        <x:v>Permission &amp; Legal Gates</x:v>
      </x:c>
      <x:c r="B1" s="25" t="str">
        <x:v>Permission &amp; Legal Gates</x:v>
      </x:c>
      <x:c r="C1" s="25" t="str">
        <x:v>Permission &amp; Legal Gates</x:v>
      </x:c>
      <x:c r="D1" s="25" t="str">
        <x:v>Permission &amp; Legal Gates</x:v>
      </x:c>
      <x:c r="E1" s="25" t="str">
        <x:v>Permission &amp; Legal Gates</x:v>
      </x:c>
      <x:c r="F1" s="25" t="str">
        <x:v>Permission &amp; Legal Gates</x:v>
      </x:c>
      <x:c r="G1" s="25" t="str">
        <x:v>Permission &amp; Legal Gates</x:v>
      </x:c>
    </x:row>
    <x:row r="2" ht="34" customHeight="1">
      <x:c r="A2" s="26" t="str">
        <x:v>Operative Leitplanken, keine Rechtsberatung. Vor Aktivierung ist eine länder- und kanalspezifische Rechtsprüfung erforderlich.</x:v>
      </x:c>
      <x:c r="B2" s="26" t="str">
        <x:v>Operative Leitplanken, keine Rechtsberatung. Vor Aktivierung ist eine länder- und kanalspezifische Rechtsprüfung erforderlich.</x:v>
      </x:c>
      <x:c r="C2" s="26" t="str">
        <x:v>Operative Leitplanken, keine Rechtsberatung. Vor Aktivierung ist eine länder- und kanalspezifische Rechtsprüfung erforderlich.</x:v>
      </x:c>
      <x:c r="D2" s="26" t="str">
        <x:v>Operative Leitplanken, keine Rechtsberatung. Vor Aktivierung ist eine länder- und kanalspezifische Rechtsprüfung erforderlich.</x:v>
      </x:c>
      <x:c r="E2" s="26" t="str">
        <x:v>Operative Leitplanken, keine Rechtsberatung. Vor Aktivierung ist eine länder- und kanalspezifische Rechtsprüfung erforderlich.</x:v>
      </x:c>
      <x:c r="F2" s="26" t="str">
        <x:v>Operative Leitplanken, keine Rechtsberatung. Vor Aktivierung ist eine länder- und kanalspezifische Rechtsprüfung erforderlich.</x:v>
      </x:c>
      <x:c r="G2" s="26" t="str">
        <x:v>Operative Leitplanken, keine Rechtsberatung. Vor Aktivierung ist eine länder- und kanalspezifische Rechtsprüfung erforderlich.</x:v>
      </x:c>
    </x:row>
    <x:row r="3">
      <x:c r="A3" s="27"/>
      <x:c r="B3" s="27"/>
      <x:c r="C3" s="27"/>
      <x:c r="D3" s="27"/>
      <x:c r="E3" s="27"/>
      <x:c r="F3" s="27"/>
      <x:c r="G3" s="27"/>
    </x:row>
    <x:row r="4" ht="38" customHeight="1">
      <x:c r="A4" s="28" t="str">
        <x:v>Kanal/Quelle</x:v>
      </x:c>
      <x:c r="B4" s="28" t="str">
        <x:v>Default</x:v>
      </x:c>
      <x:c r="C4" s="28" t="str">
        <x:v>Kontaktvoraussetzung</x:v>
      </x:c>
      <x:c r="D4" s="28" t="str">
        <x:v>Dokumentation</x:v>
      </x:c>
      <x:c r="E4" s="28" t="str">
        <x:v>Follow-up</x:v>
      </x:c>
      <x:c r="F4" s="28" t="str">
        <x:v>Risiko</x:v>
      </x:c>
      <x:c r="G4" s="28" t="str">
        <x:v>Primärquelle</x:v>
      </x:c>
    </x:row>
    <x:row r="5" ht="58" customHeight="1">
      <x:c r="A5" s="29" t="str">
        <x:v>Warm Intro</x:v>
      </x:c>
      <x:c r="B5" s="29" t="str">
        <x:v>Aktiv</x:v>
      </x:c>
      <x:c r="C5" s="29" t="str">
        <x:v>Vorgestellte Person stimmt der Weitergabe/Einführung zu</x:v>
      </x:c>
      <x:c r="D5" s="29" t="str">
        <x:v>Referrer, Datum, Zweck</x:v>
      </x:c>
      <x:c r="E5" s="29" t="str">
        <x:v>1 Erinnerung + Abschluss</x:v>
      </x:c>
      <x:c r="F5" s="29" t="str">
        <x:v>Zweck nicht still erweitern</x:v>
      </x:c>
      <x:c r="G5" s="29" t="str">
        <x:v>https://www.bfdi.bund.de/SharedDocs/Downloads/DE/DSK/Orientierungshilfen/DSK_20181107_Orientierungshilfe_Direktwerbung.pdf</x:v>
      </x:c>
    </x:row>
    <x:row r="6" ht="58" customHeight="1">
      <x:c r="A6" s="29" t="str">
        <x:v>Self-/Inbound Opt-in</x:v>
      </x:c>
      <x:c r="B6" s="29" t="str">
        <x:v>Aktiv</x:v>
      </x:c>
      <x:c r="C6" s="29" t="str">
        <x:v>Explizite Research-Anmeldung</x:v>
      </x:c>
      <x:c r="D6" s="29" t="str">
        <x:v>Text/Version, Datum, Kanal, Zwecke</x:v>
      </x:c>
      <x:c r="E6" s="29" t="str">
        <x:v>gemäß Einladung</x:v>
      </x:c>
      <x:c r="F6" s="29" t="str">
        <x:v>Research ≠ Marketing/Pilot</x:v>
      </x:c>
      <x:c r="G6" s="29" t="str">
        <x:v>https://eur-lex.europa.eu/eli/reg/2016/679/oj</x:v>
      </x:c>
    </x:row>
    <x:row r="7" ht="58" customHeight="1">
      <x:c r="A7" s="29" t="str">
        <x:v>Community/Event Aufruf</x:v>
      </x:c>
      <x:c r="B7" s="29" t="str">
        <x:v>Aktiv nach Adminregel</x:v>
      </x:c>
      <x:c r="C7" s="29" t="str">
        <x:v>Post erlaubt; Person meldet sich freiwillig</x:v>
      </x:c>
      <x:c r="D7" s="29" t="str">
        <x:v>Community/Event, Post-Version, Opt-in</x:v>
      </x:c>
      <x:c r="E7" s="29" t="str">
        <x:v>nur nach Opt-in</x:v>
      </x:c>
      <x:c r="F7" s="29" t="str">
        <x:v>Badge-Scan ist keine pauschale Einwilligung</x:v>
      </x:c>
      <x:c r="G7" s="29" t="str">
        <x:v>https://eur-lex.europa.eu/eli/reg/2016/679/oj</x:v>
      </x:c>
    </x:row>
    <x:row r="8" ht="58" customHeight="1">
      <x:c r="A8" s="29" t="str">
        <x:v>Bezahltes Research Panel</x:v>
      </x:c>
      <x:c r="B8" s="29" t="str">
        <x:v>Aktiv</x:v>
      </x:c>
      <x:c r="C8" s="29" t="str">
        <x:v>Panel-Teilnahmebedingungen und Research Consent</x:v>
      </x:c>
      <x:c r="D8" s="29" t="str">
        <x:v>Panel, Zweck, Incentive</x:v>
      </x:c>
      <x:c r="E8" s="29" t="str">
        <x:v>keine kommerzielle Nutzung ohne neues Opt-in</x:v>
      </x:c>
      <x:c r="F8" s="29" t="str">
        <x:v>Incentive darf Meinung nicht kaufen</x:v>
      </x:c>
      <x:c r="G8" s="29" t="str">
        <x:v>https://eur-lex.europa.eu/eli/reg/2016/679/oj</x:v>
      </x:c>
    </x:row>
    <x:row r="9" ht="58" customHeight="1">
      <x:c r="A9" s="29" t="str">
        <x:v>Kalte E-Mail</x:v>
      </x:c>
      <x:c r="B9" s="29" t="str">
        <x:v>BLOCKED</x:v>
      </x:c>
      <x:c r="C9" s="29" t="str">
        <x:v>Nur nach ausdrücklicher rechtlicher Freigabe/Einwilligung</x:v>
      </x:c>
      <x:c r="D9" s="29" t="str">
        <x:v>Einwilligungsnachweis</x:v>
      </x:c>
      <x:c r="E9" s="29" t="str">
        <x:v>nicht aktivieren</x:v>
      </x:c>
      <x:c r="F9" s="29" t="str">
        <x:v>§ 7 UWG: elektronische Post grundsätzlich mit vorheriger ausdrücklicher Einwilligung</x:v>
      </x:c>
      <x:c r="G9" s="29" t="str">
        <x:v>https://www.gesetze-im-internet.de/uwg_2004/__7.html</x:v>
      </x:c>
    </x:row>
    <x:row r="10" ht="58" customHeight="1">
      <x:c r="A10" s="29" t="str">
        <x:v>Kalte Direktnachricht</x:v>
      </x:c>
      <x:c r="B10" s="29" t="str">
        <x:v>BLOCKED</x:v>
      </x:c>
      <x:c r="C10" s="29" t="str">
        <x:v>Plattform- und Rechtsprüfung plus Kontaktberechtigung</x:v>
      </x:c>
      <x:c r="D10" s="29" t="str">
        <x:v>Einwilligung/Plattformregel</x:v>
      </x:c>
      <x:c r="E10" s="29" t="str">
        <x:v>nicht aktivieren</x:v>
      </x:c>
      <x:c r="F10" s="29" t="str">
        <x:v>Kann als elektronische Nachricht/Werbung gelten</x:v>
      </x:c>
      <x:c r="G10" s="29" t="str">
        <x:v>https://www.gesetze-im-internet.de/uwg_2004/__7.html</x:v>
      </x:c>
    </x:row>
    <x:row r="11" ht="58" customHeight="1">
      <x:c r="A11" s="29" t="str">
        <x:v>B2B Telefon</x:v>
      </x:c>
      <x:c r="B11" s="29" t="str">
        <x:v>BLOCKED im Test</x:v>
      </x:c>
      <x:c r="C11" s="29" t="str">
        <x:v>Dokumentierte mutmaßliche Einwilligung + Legal Review</x:v>
      </x:c>
      <x:c r="D11" s="29" t="str">
        <x:v>Einzelfallbegründung, Rolle, Anlass</x:v>
      </x:c>
      <x:c r="E11" s="29" t="str">
        <x:v>max. nach Freigabe</x:v>
      </x:c>
      <x:c r="F11" s="29" t="str">
        <x:v>Hohe Einzelfallabhängigkeit</x:v>
      </x:c>
      <x:c r="G11" s="29" t="str">
        <x:v>https://www.gesetze-im-internet.de/uwg_2004/__7.html</x:v>
      </x:c>
    </x:row>
    <x:row r="12" ht="58" customHeight="1">
      <x:c r="A12" s="29" t="str">
        <x:v>Opt-out/Widerspruch</x:v>
      </x:c>
      <x:c r="B12" s="29" t="str">
        <x:v>Sofort stoppen</x:v>
      </x:c>
      <x:c r="C12" s="29" t="str">
        <x:v>Jederzeit kostenlos und einfach</x:v>
      </x:c>
      <x:c r="D12" s="29" t="str">
        <x:v>Datum, Zweck, minimale Suppression</x:v>
      </x:c>
      <x:c r="E12" s="29" t="str">
        <x:v>keiner</x:v>
      </x:c>
      <x:c r="F12" s="29" t="str">
        <x:v>Widerspruch muss wirksam bleiben</x:v>
      </x:c>
      <x:c r="G12" s="29" t="str">
        <x:v>https://www.bfdi.bund.de/SharedDocs/Downloads/DE/Broschueren/INFO1.pdf</x:v>
      </x:c>
    </x:row>
  </x:sheetData>
  <x:mergeCells>
    <x:mergeCell ref="A1:G1"/>
    <x:mergeCell ref="A2:G2"/>
  </x:mergeCells>
  <x:conditionalFormatting sqref="B5:B12">
    <x:cfRule type="containsText" dxfId="8" priority="1" operator="containsText" text="BLOCKED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3" hidden="0" customWidth="1"/>
    <x:col min="3" max="3" width="43" hidden="0" customWidth="1"/>
    <x:col min="4" max="4" width="43" hidden="0" customWidth="1"/>
  </x:cols>
  <x:sheetData>
    <x:row r="1" ht="30" customHeight="1">
      <x:c r="A1" s="25" t="str">
        <x:v>Definitionen &amp; Operating Rules</x:v>
      </x:c>
      <x:c r="B1" s="25" t="str">
        <x:v>Definitionen &amp; Operating Rules</x:v>
      </x:c>
      <x:c r="C1" s="25" t="str">
        <x:v>Definitionen &amp; Operating Rules</x:v>
      </x:c>
      <x:c r="D1" s="25" t="str">
        <x:v>Definitionen &amp; Operating Rules</x:v>
      </x:c>
    </x:row>
    <x:row r="2" ht="34" customHeight="1">
      <x:c r="A2" s="26" t="str">
        <x:v>Die Longlist ist eine Sourcing-Liste, keine Kontaktliste und kein Beweis für Product-Market-Fit.</x:v>
      </x:c>
      <x:c r="B2" s="26" t="str">
        <x:v>Die Longlist ist eine Sourcing-Liste, keine Kontaktliste und kein Beweis für Product-Market-Fit.</x:v>
      </x:c>
      <x:c r="C2" s="26" t="str">
        <x:v>Die Longlist ist eine Sourcing-Liste, keine Kontaktliste und kein Beweis für Product-Market-Fit.</x:v>
      </x:c>
      <x:c r="D2" s="26" t="str">
        <x:v>Die Longlist ist eine Sourcing-Liste, keine Kontaktliste und kein Beweis für Product-Market-Fit.</x:v>
      </x:c>
    </x:row>
    <x:row r="3">
      <x:c r="A3" s="27"/>
      <x:c r="B3" s="27"/>
      <x:c r="C3" s="27"/>
      <x:c r="D3" s="27"/>
    </x:row>
    <x:row r="4" ht="38" customHeight="1">
      <x:c r="A4" s="28" t="str">
        <x:v>Begriff</x:v>
      </x:c>
      <x:c r="B4" s="28" t="str">
        <x:v>Definition</x:v>
      </x:c>
      <x:c r="C4" s="28" t="str">
        <x:v>Gate</x:v>
      </x:c>
      <x:c r="D4" s="28" t="str">
        <x:v>Konsequenz</x:v>
      </x:c>
    </x:row>
    <x:row r="5" ht="48" customHeight="1">
      <x:c r="A5" s="29" t="str">
        <x:v>Account Hypothesis</x:v>
      </x:c>
      <x:c r="B5" s="29" t="str">
        <x:v>Firma mit öffentlichem Fit-Signal</x:v>
      </x:c>
      <x:c r="C5" s="29" t="str">
        <x:v>Quelle + Datum</x:v>
      </x:c>
      <x:c r="D5" s="29" t="str">
        <x:v>Darf recherchiert, nicht ungefragt kontaktiert werden</x:v>
      </x:c>
    </x:row>
    <x:row r="6" ht="48" customHeight="1">
      <x:c r="A6" s="29" t="str">
        <x:v>Permission Route</x:v>
      </x:c>
      <x:c r="B6" s="29" t="str">
        <x:v>Dokumentierter Intro-/Opt-in-Weg</x:v>
      </x:c>
      <x:c r="C6" s="29" t="str">
        <x:v>Source + Zweck</x:v>
      </x:c>
      <x:c r="D6" s="29" t="str">
        <x:v>Erst dann Personen-/Outreach-Datensatz</x:v>
      </x:c>
    </x:row>
    <x:row r="7" ht="48" customHeight="1">
      <x:c r="A7" s="29" t="str">
        <x:v>Qualified Discovery</x:v>
      </x:c>
      <x:c r="B7" s="29" t="str">
        <x:v>Screener Q1 und passende Rollenklasse</x:v>
      </x:c>
      <x:c r="C7" s="29" t="str">
        <x:v>Konkreter Fall letzte 30 Tage</x:v>
      </x:c>
      <x:c r="D7" s="29" t="str">
        <x:v>Zählt im Segment-Funnel</x:v>
      </x:c>
    </x:row>
    <x:row r="8" ht="48" customHeight="1">
      <x:c r="A8" s="29" t="str">
        <x:v>Evidence</x:v>
      </x:c>
      <x:c r="B8" s="29" t="str">
        <x:v>Verhalten, Artefakt, Baseline oder Zahlung</x:v>
      </x:c>
      <x:c r="C8" s="29" t="str">
        <x:v>Evidence ID</x:v>
      </x:c>
      <x:c r="D8" s="29" t="str">
        <x:v>Meinung erhöht keinen Score</x:v>
      </x:c>
    </x:row>
    <x:row r="9" ht="48" customHeight="1">
      <x:c r="A9" s="29" t="str">
        <x:v>P1</x:v>
      </x:c>
      <x:c r="B9" s="29" t="str">
        <x:v>Sofort qualifizieren</x:v>
      </x:c>
      <x:c r="C9" s="29" t="str">
        <x:v>Starker öffentlicher Workflow-Fit</x:v>
      </x:c>
      <x:c r="D9" s="29" t="str">
        <x:v>Keine Kaufwahrscheinlichkeit behaupten</x:v>
      </x:c>
    </x:row>
    <x:row r="10" ht="48" customHeight="1">
      <x:c r="A10" s="29" t="str">
        <x:v>P2</x:v>
      </x:c>
      <x:c r="B10" s="29" t="str">
        <x:v>Zweite Welle</x:v>
      </x:c>
      <x:c r="C10" s="29" t="str">
        <x:v>Fit mit Größen-/Risiko-Gap</x:v>
      </x:c>
      <x:c r="D10" s="29" t="str">
        <x:v>Vor Outreach verifizieren</x:v>
      </x:c>
    </x:row>
    <x:row r="11" ht="48" customHeight="1">
      <x:c r="A11" s="29" t="str">
        <x:v>P3</x:v>
      </x:c>
      <x:c r="B11" s="29" t="str">
        <x:v>Learning/Lighthouse/Competitor</x:v>
      </x:c>
      <x:c r="C11" s="29" t="str">
        <x:v>Hoher Lernwert, langsamer oder riskant</x:v>
      </x:c>
      <x:c r="D11" s="29" t="str">
        <x:v>Nicht in Kernconversion mischen</x:v>
      </x:c>
    </x:row>
    <x:row r="12" ht="48" customHeight="1">
      <x:c r="A12" s="29" t="str">
        <x:v>Warm Intro Cap</x:v>
      </x:c>
      <x:c r="B12" s="29" t="str">
        <x:v>Max. 50 % gewertete Interviews</x:v>
      </x:c>
      <x:c r="C12" s="29" t="str">
        <x:v>Quellenmix messen</x:v>
      </x:c>
      <x:c r="D12" s="29" t="str">
        <x:v>Netzwerkbias begrenzen</x:v>
      </x:c>
    </x:row>
    <x:row r="13" ht="48" customHeight="1">
      <x:c r="A13" s="29" t="str">
        <x:v>Partner Cap</x:v>
      </x:c>
      <x:c r="B13" s="29" t="str">
        <x:v>Max. 30 % gewertete Interviews pro Partner</x:v>
      </x:c>
      <x:c r="C13" s="29" t="str">
        <x:v>Source zählen</x:v>
      </x:c>
      <x:c r="D13" s="29" t="str">
        <x:v>Keine Kanalabhängigkeit</x:v>
      </x:c>
    </x:row>
    <x:row r="14" ht="48" customHeight="1">
      <x:c r="A14" s="29" t="str">
        <x:v>Follow-up</x:v>
      </x:c>
      <x:c r="B14" s="29" t="str">
        <x:v>Nur wenn Erstkontakt erlaubt/erwartbar</x:v>
      </x:c>
      <x:c r="C14" s="29" t="str">
        <x:v>Tag 4–5 einmal</x:v>
      </x:c>
      <x:c r="D14" s="29" t="str">
        <x:v>Danach Abschluss; 180 Tage Ruhe</x:v>
      </x:c>
    </x:row>
    <x:row r="15" ht="48" customHeight="1">
      <x:c r="A15" s="29" t="str">
        <x:v>No Build</x:v>
      </x:c>
      <x:c r="B15" s="29" t="str">
        <x:v>Zahlungs-/Evidence-Gates nicht bestanden</x:v>
      </x:c>
      <x:c r="C15" s="29" t="str">
        <x:v>2 angezahlte Piloten je Gewinnersegment</x:v>
      </x:c>
      <x:c r="D15" s="29" t="str">
        <x:v>Nicht durch Aktivitätsmetriken überstimmen</x:v>
      </x:c>
    </x:row>
    <x:row r="16" ht="48" customHeight="1">
      <x:c r="A16" s="29" t="str">
        <x:v>Legal Review</x:v>
      </x:c>
      <x:c r="B16" s="29" t="str">
        <x:v>Länder-/kanalspezifische Prüfung</x:v>
      </x:c>
      <x:c r="C16" s="29" t="str">
        <x:v>Vor Aktivierung direkter Kanäle</x:v>
      </x:c>
      <x:c r="D16" s="29" t="str">
        <x:v>Default ist Blocked</x:v>
      </x:c>
    </x:row>
    <x:row r="17">
      <x:c r="A17" s="27"/>
      <x:c r="B17" s="27"/>
      <x:c r="C17" s="27"/>
      <x:c r="D17" s="27"/>
    </x:row>
    <x:row r="18">
      <x:c r="A18" s="27"/>
      <x:c r="B18" s="27"/>
      <x:c r="C18" s="27"/>
      <x:c r="D18" s="27"/>
    </x:row>
    <x:row r="19">
      <x:c r="A19" s="28" t="str">
        <x:v>Stage</x:v>
      </x:c>
      <x:c r="B19" s="28" t="str">
        <x:v>Rank</x:v>
      </x:c>
      <x:c r="C19" s="27"/>
      <x:c r="D19" s="27"/>
    </x:row>
    <x:row r="20">
      <x:c r="A20" s="27" t="str">
        <x:v>S0 Account Hypothesis</x:v>
      </x:c>
      <x:c r="B20" s="27" t="n">
        <x:v>0</x:v>
      </x:c>
      <x:c r="C20" s="27"/>
      <x:c r="D20" s="27"/>
    </x:row>
    <x:row r="21">
      <x:c r="A21" s="27" t="str">
        <x:v>S1 Permission</x:v>
      </x:c>
      <x:c r="B21" s="27" t="n">
        <x:v>1</x:v>
      </x:c>
      <x:c r="C21" s="27"/>
      <x:c r="D21" s="27"/>
    </x:row>
    <x:row r="22">
      <x:c r="A22" s="27" t="str">
        <x:v>S2 Screener Scheduled</x:v>
      </x:c>
      <x:c r="B22" s="27" t="n">
        <x:v>2</x:v>
      </x:c>
      <x:c r="C22" s="27"/>
      <x:c r="D22" s="27"/>
    </x:row>
    <x:row r="23">
      <x:c r="A23" s="27" t="str">
        <x:v>S3 Qualified Discovery</x:v>
      </x:c>
      <x:c r="B23" s="27" t="n">
        <x:v>3</x:v>
      </x:c>
      <x:c r="C23" s="27"/>
      <x:c r="D23" s="27"/>
    </x:row>
    <x:row r="24">
      <x:c r="A24" s="27" t="str">
        <x:v>S4 Evidence Collected</x:v>
      </x:c>
      <x:c r="B24" s="27" t="n">
        <x:v>4</x:v>
      </x:c>
      <x:c r="C24" s="27"/>
      <x:c r="D24" s="27"/>
    </x:row>
    <x:row r="25">
      <x:c r="A25" s="27" t="str">
        <x:v>S5 Workflow/Buyer Validation</x:v>
      </x:c>
      <x:c r="B25" s="27" t="n">
        <x:v>5</x:v>
      </x:c>
      <x:c r="C25" s="27"/>
      <x:c r="D25" s="27"/>
    </x:row>
    <x:row r="26">
      <x:c r="A26" s="27" t="str">
        <x:v>S6 Concept Test</x:v>
      </x:c>
      <x:c r="B26" s="27" t="n">
        <x:v>6</x:v>
      </x:c>
      <x:c r="C26" s="27"/>
      <x:c r="D26" s="27"/>
    </x:row>
    <x:row r="27">
      <x:c r="A27" s="27" t="str">
        <x:v>S7 Pilot Qualified</x:v>
      </x:c>
      <x:c r="B27" s="27" t="n">
        <x:v>7</x:v>
      </x:c>
      <x:c r="C27" s="27"/>
      <x:c r="D27" s="27"/>
    </x:row>
    <x:row r="28">
      <x:c r="A28" s="27" t="str">
        <x:v>S8 Pilot Offered</x:v>
      </x:c>
      <x:c r="B28" s="27" t="n">
        <x:v>8</x:v>
      </x:c>
      <x:c r="C28" s="27"/>
      <x:c r="D28" s="27"/>
    </x:row>
    <x:row r="29">
      <x:c r="A29" s="27" t="str">
        <x:v>S9 Paid Pilot</x:v>
      </x:c>
      <x:c r="B29" s="27" t="n">
        <x:v>9</x:v>
      </x:c>
      <x:c r="C29" s="27"/>
      <x:c r="D29" s="27"/>
    </x:row>
    <x:row r="30">
      <x:c r="A30" s="27" t="str">
        <x:v>Closed</x:v>
      </x:c>
      <x:c r="B30" s="27" t="n">
        <x:v>-1</x:v>
      </x:c>
      <x:c r="C30" s="27"/>
      <x:c r="D30" s="27"/>
    </x:row>
  </x:sheetData>
  <x:mergeCells>
    <x:mergeCell ref="A1:D1"/>
    <x:mergeCell ref="A2:D2"/>
  </x:mergeCells>
  <x:pageMargins left="0.7" right="0.7" top="0.75" bottom="0.75" header="0.3" footer="0.3"/>
</x:worksheet>
</file>